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7ee7010a4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bf8b7277835444d"/>
    <x:sheet xmlns:r="http://schemas.openxmlformats.org/officeDocument/2006/relationships" name="Source Register" sheetId="2" r:id="R8c0f2a21e08b4acb"/>
    <x:sheet xmlns:r="http://schemas.openxmlformats.org/officeDocument/2006/relationships" name="Gate Checklist" sheetId="3" r:id="R7f015ec7c6ec4458"/>
    <x:sheet xmlns:r="http://schemas.openxmlformats.org/officeDocument/2006/relationships" name="Source Profile" sheetId="4" r:id="Rfacfc2035fad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"/>
  </x:numFmts>
  <x:fonts count="12">
    <x:font>
      <x:sz val="11"/>
      <x:name val="Carlito"/>
    </x:font>
    <x:font>
      <x:b/>
      <x:sz val="16"/>
      <x:color rgb="FF18324B"/>
      <x:name val="Arial"/>
    </x:font>
    <x:font>
      <x:sz val="11"/>
      <x:color rgb="FF526879"/>
      <x:name val="Arial"/>
    </x:font>
    <x:font>
      <x:b/>
      <x:sz val="10"/>
      <x:color rgb="FF18324B"/>
      <x:name val="Arial"/>
    </x:font>
    <x:font>
      <x:sz val="10"/>
      <x:color rgb="FF243746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b/>
      <x:sz val="15"/>
      <x:color rgb="FF18324B"/>
      <x:name val="Arial"/>
    </x:font>
    <x:font>
      <x:i/>
      <x:sz val="10"/>
      <x:color rgb="FF526879"/>
      <x:name val="Arial"/>
    </x:font>
    <x:font>
      <x:b/>
      <x:sz val="9"/>
      <x:color rgb="FFFFFFFF"/>
      <x:name val="Arial"/>
    </x:font>
    <x:font>
      <x:sz val="9"/>
      <x:color rgb="FF243746"/>
      <x:name val="Arial"/>
    </x:font>
    <x:font>
      <x:b/>
      <x:sz val="9"/>
      <x:color rgb="FF24374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CE8F2"/>
      </x:patternFill>
    </x:fill>
    <x:fill>
      <x:patternFill patternType="solid">
        <x:fgColor rgb="FF18324B"/>
      </x:patternFill>
    </x:fill>
    <x:fill>
      <x:patternFill patternType="solid">
        <x:fgColor rgb="FFFFF2CC"/>
      </x:patternFill>
    </x:fill>
    <x:fill>
      <x:patternFill patternType="solid">
        <x:fgColor rgb="FF18324B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</x:border>
    <x:border>
      <x:right style="thin">
        <x:color rgb="FFC8D3DC"/>
      </x:right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  <x:border>
      <x:bottom style="thin">
        <x:color rgb="FFC8D3DC"/>
      </x:bottom>
    </x:border>
    <x:border>
      <x:top style="thin">
        <x:color rgb="FFC8D3DC"/>
      </x:top>
      <x:bottom style="thin">
        <x:color rgb="FFC8D3DC"/>
      </x:bottom>
    </x:border>
    <x:border>
      <x:top style="thin">
        <x:color rgb="FFC8D3D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0" fontId="10" fillId="4" borderId="8" xfId="0" applyNumberFormat="1" applyFont="1" applyFill="1" applyBorder="1" applyAlignment="1">
      <x:alignment vertical="center"/>
    </x:xf>
    <x:xf numFmtId="0" fontId="10" fillId="4" borderId="9" xfId="0" applyNumberFormat="1" applyFont="1" applyFill="1" applyBorder="1" applyAlignment="1">
      <x:alignment vertical="center"/>
    </x:xf>
    <x:xf numFmtId="200" fontId="10" fillId="4" borderId="7" xfId="0" applyNumberFormat="1" applyFont="1" applyFill="1" applyBorder="1" applyAlignment="1">
      <x:alignment vertical="center"/>
    </x:xf>
    <x:xf numFmtId="200" fontId="10" fillId="4" borderId="8" xfId="0" applyNumberFormat="1" applyFont="1" applyFill="1" applyBorder="1" applyAlignment="1">
      <x:alignment vertical="center"/>
    </x:xf>
    <x:xf numFmtId="200" fontId="10" fillId="4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7" xfId="0" applyNumberFormat="1" applyFont="1" applyFill="1" applyBorder="1" applyAlignment="1">
      <x:alignment vertical="center" wrapText="1"/>
    </x:xf>
    <x:xf numFmtId="0" fontId="10" fillId="6" borderId="8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201" fontId="11" fillId="0" borderId="7" xfId="0" applyNumberFormat="1" applyFont="1" applyFill="1" applyBorder="1" applyAlignment="1">
      <x:alignment vertical="center" wrapText="1"/>
    </x:xf>
    <x:xf numFmtId="201" fontId="11" fillId="0" borderId="8" xfId="0" applyNumberFormat="1" applyFont="1" applyFill="1" applyBorder="1" applyAlignment="1">
      <x:alignment vertical="center" wrapText="1"/>
    </x:xf>
    <x:xf numFmtId="201" fontId="11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0" fillId="7" borderId="7" xfId="0" applyNumberFormat="1" applyFont="1" applyFill="1" applyBorder="1" applyAlignment="1">
      <x:alignment vertical="center"/>
    </x:xf>
    <x:xf numFmtId="0" fontId="10" fillId="7" borderId="7" xfId="0" applyNumberFormat="1" applyFont="1" applyFill="1" applyBorder="1" applyAlignment="1">
      <x:alignment vertical="center" wrapText="1"/>
    </x:xf>
    <x:xf numFmtId="0" fontId="10" fillId="7" borderId="8" xfId="0" applyNumberFormat="1" applyFont="1" applyFill="1" applyBorder="1" applyAlignment="1">
      <x:alignment vertical="center"/>
    </x:xf>
    <x:xf numFmtId="0" fontId="10" fillId="7" borderId="8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/>
    </x:xf>
    <x:xf numFmtId="0" fontId="10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e53a1a86a4a91" /><Relationship Type="http://schemas.openxmlformats.org/officeDocument/2006/relationships/theme" Target="/xl/theme/theme1.xml" Id="R01649724481442a5" /><Relationship Type="http://schemas.openxmlformats.org/officeDocument/2006/relationships/sharedStrings" Target="/xl/sharedStrings.xml" Id="R5e3b524af62340d5" /><Relationship Type="http://schemas.openxmlformats.org/officeDocument/2006/relationships/worksheet" Target="/xl/worksheets/sheet1.xml" Id="R2bf8b7277835444d" /><Relationship Type="http://schemas.openxmlformats.org/officeDocument/2006/relationships/worksheet" Target="/xl/worksheets/sheet2.xml" Id="R8c0f2a21e08b4acb" /><Relationship Type="http://schemas.openxmlformats.org/officeDocument/2006/relationships/worksheet" Target="/xl/worksheets/sheet3.xml" Id="R7f015ec7c6ec4458" /><Relationship Type="http://schemas.openxmlformats.org/officeDocument/2006/relationships/worksheet" Target="/xl/worksheets/sheet4.xml" Id="Rfacfc2035fad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5" hidden="0" customWidth="1"/>
    <x:col min="3" max="3" width="76" hidden="0" customWidth="1"/>
  </x:cols>
  <x:sheetData>
    <x:row r="2">
      <x:c r="B2" s="25" t="str">
        <x:v>Phase 4 | Source Qualification</x:v>
      </x:c>
      <x:c r="C2" s="26"/>
    </x:row>
    <x:row r="3">
      <x:c r="B3" s="27" t="str">
        <x:v>Migration Factory and Domain Waves</x:v>
      </x:c>
      <x:c r="C3" s="26"/>
    </x:row>
    <x:row r="4">
      <x:c r="B4" s="26"/>
      <x:c r="C4" s="26"/>
    </x:row>
    <x:row r="5" ht="34" customHeight="1">
      <x:c r="B5" s="9" t="str">
        <x:v>Qualification rule</x:v>
      </x:c>
      <x:c r="C5" s="10" t="str">
        <x:v>Gates 0-1 only. A Fail at either gate blocks qualification.</x:v>
      </x:c>
    </x:row>
    <x:row r="6" ht="34" customHeight="1">
      <x:c r="B6" s="11" t="str">
        <x:v>Later stages</x:v>
      </x:c>
      <x:c r="C6" s="12" t="str">
        <x:v>Gates 2-6 govern mapping, dry run, production entry, acceptance, and closure.</x:v>
      </x:c>
    </x:row>
    <x:row r="7" ht="34" customHeight="1">
      <x:c r="B7" s="11" t="str">
        <x:v>Candidate rule</x:v>
      </x:c>
      <x:c r="C7" s="12" t="str">
        <x:v>Phase 3 carry-forwards remain proof candidates until source and owner facts are verified.</x:v>
      </x:c>
    </x:row>
    <x:row r="8" ht="34" customHeight="1">
      <x:c r="B8" s="11" t="str">
        <x:v>Priority score</x:v>
      </x:c>
      <x:c r="C8" s="12" t="str">
        <x:v>Value + reuse + (6 - complexity). Higher scores receive earlier review.</x:v>
      </x:c>
    </x:row>
    <x:row r="9" ht="34" customHeight="1">
      <x:c r="B9" s="13" t="str">
        <x:v>Score use</x:v>
      </x:c>
      <x:c r="C9" s="14" t="str">
        <x:v>Prioritize assessment only. Scores do not approve wave assignment or override gates.</x:v>
      </x:c>
    </x:row>
    <x:row r="10">
      <x:c r="B10" s="13" t="str">
        <x:v>Next action</x:v>
      </x:c>
      <x:c r="C10" s="14" t="str">
        <x:v>Confirm authoritative inventory, then document source facts, evidence, and owners.</x:v>
      </x:c>
    </x:row>
    <x:row r="11">
      <x:c r="B11" s="28" t="str">
        <x:v>Current qualification result</x:v>
      </x:c>
      <x:c r="C11" s="28" t="str">
        <x:v>Count</x:v>
      </x:c>
    </x:row>
    <x:row r="12">
      <x:c r="B12" s="29" t="str">
        <x:v>Ready for mapping</x:v>
      </x:c>
      <x:c r="C12" s="30" t="n">
        <x:f>COUNTIF('Source Register'!$O$5:$O$204,"READY FOR MAPPING")</x:f>
        <x:v>0</x:v>
      </x:c>
    </x:row>
    <x:row r="13">
      <x:c r="B13" s="31" t="str">
        <x:v>Ready with remediation</x:v>
      </x:c>
      <x:c r="C13" s="32" t="n">
        <x:f>COUNTIF('Source Register'!$O$5:$O$204,"READY WITH REMEDIATION")</x:f>
        <x:v>0</x:v>
      </x:c>
    </x:row>
    <x:row r="14">
      <x:c r="B14" s="33" t="str">
        <x:v>Deferred</x:v>
      </x:c>
      <x:c r="C14" s="34" t="n">
        <x:f>COUNTIF('Source Register'!$O$5:$O$204,"DEFERRED")</x:f>
        <x:v>0</x:v>
      </x:c>
    </x:row>
    <x:row r="15">
      <x:c r="B15" s="26" t="str">
        <x:v>Blocked</x:v>
      </x:c>
      <x:c r="C15" s="26" t="n">
        <x:f>COUNTIF('Source Register'!$O$5:$O$204,"BLOCKED")</x:f>
        <x:v>0</x:v>
      </x:c>
    </x:row>
    <x:row r="16" ht="30" customHeight="1">
      <x:c r="B16" s="7" t="str">
        <x:v>In progress</x:v>
      </x:c>
      <x:c r="C16" s="8" t="n">
        <x:f>COUNTIF('Source Register'!$O$5:$O$204,"IN PROGRESS")</x:f>
        <x:v>0</x:v>
      </x:c>
    </x:row>
    <x:row r="17">
      <x:c r="B17" s="26" t="str">
        <x:v>Disposition required</x:v>
      </x:c>
      <x:c r="C17" s="26" t="n">
        <x:f>COUNTIF('Source Register'!$O$5:$O$204,"DISPOSITION REQUIRED")</x:f>
        <x:v>0</x:v>
      </x:c>
    </x:row>
    <x:row r="18" ht="40" customHeight="1">
      <x:c r="B18" s="35" t="str">
        <x:v>Not assessed</x:v>
      </x:c>
      <x:c r="C18" s="8" t="n">
        <x:f>COUNTIF('Source Register'!$O$5:$O$204,"NOT ASSESSED")</x:f>
        <x:v>3</x:v>
      </x:c>
    </x:row>
    <x:row r="20" ht="36" customHeight="1">
      <x:c r="B20" s="84" t="str">
        <x:v>Rating guidance</x:v>
      </x:c>
      <x:c r="C20" s="84" t="str">
        <x:v>Use 1, 3, and 5 as low, moderate, and high anchors; 2 and 4 are intermediate.</x:v>
      </x:c>
    </x:row>
    <x:row r="21" ht="36" customHeight="1">
      <x:c r="B21" s="84" t="str">
        <x:v>Business value</x:v>
      </x:c>
      <x:c r="C21" s="84" t="str">
        <x:v>1 limited; 3 material; 5 critical to the intended use.</x:v>
      </x:c>
    </x:row>
    <x:row r="22" ht="36" customHeight="1">
      <x:c r="B22" s="84" t="str">
        <x:v>Reuse value</x:v>
      </x:c>
      <x:c r="C22" s="84" t="str">
        <x:v>1 candidate-specific; 3 reusable by several consumers; 5 reusable across domains.</x:v>
      </x:c>
    </x:row>
    <x:row r="23" ht="36" customHeight="1">
      <x:c r="B23" s="84" t="str">
        <x:v>Complexity</x:v>
      </x:c>
      <x:c r="C23" s="84" t="str">
        <x:v>1 low; 3 moderate; 5 high, considering dependencies, transformation, and recovery.</x:v>
      </x:c>
    </x:row>
    <x:row r="24" ht="36" customHeight="1">
      <x:c r="B24" s="84" t="str">
        <x:v>Tie-breaks</x:v>
      </x:c>
      <x:c r="C24" s="84" t="str">
        <x:v>For equal scores, favor lower cutover coupling, stable schema, and available owners.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14" hidden="0" customWidth="1"/>
    <x:col min="4" max="4" width="3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  <x:col min="10" max="10" width="2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25" hidden="0" customWidth="1"/>
    <x:col min="16" max="16" width="27" hidden="0" customWidth="1"/>
    <x:col min="17" max="17" width="18" hidden="0" customWidth="1"/>
    <x:col min="18" max="18" width="54" hidden="0" customWidth="1"/>
    <x:col min="19" max="19" width="44" hidden="0" customWidth="1"/>
  </x:cols>
  <x:sheetData>
    <x:row r="1">
      <x:c r="A1" s="36" t="str">
        <x:v>Phase 4 | Source Register</x:v>
      </x:c>
    </x:row>
    <x:row r="2" ht="30" customHeight="1">
      <x:c r="A2" s="38" t="str">
        <x:v>Enter one source or tightly related source group per row. Yellow cells are inputs; qualification status and priority score are calculated.</x:v>
      </x:c>
    </x:row>
    <x:row r="4" ht="40" customHeight="1">
      <x:c r="A4" s="41" t="str">
        <x:v>Candidate ID</x:v>
      </x:c>
      <x:c r="B4" s="41" t="str">
        <x:v>Candidate / proof</x:v>
      </x:c>
      <x:c r="C4" s="41" t="str">
        <x:v>Type</x:v>
      </x:c>
      <x:c r="D4" s="41" t="str">
        <x:v>Known status</x:v>
      </x:c>
      <x:c r="E4" s="41" t="str">
        <x:v>Source system</x:v>
      </x:c>
      <x:c r="F4" s="41" t="str">
        <x:v>Business owner</x:v>
      </x:c>
      <x:c r="G4" s="41" t="str">
        <x:v>Data steward</x:v>
      </x:c>
      <x:c r="H4" s="41" t="str">
        <x:v>Technical owner</x:v>
      </x:c>
      <x:c r="I4" s="41" t="str">
        <x:v>Consumer / intended use</x:v>
      </x:c>
      <x:c r="J4" s="41" t="str">
        <x:v>Sensitivity / handling</x:v>
      </x:c>
      <x:c r="K4" s="41" t="str">
        <x:v>Business value (1-5)</x:v>
      </x:c>
      <x:c r="L4" s="41" t="str">
        <x:v>Reuse value (1-5)</x:v>
      </x:c>
      <x:c r="M4" s="41" t="str">
        <x:v>Complexity (1-5)</x:v>
      </x:c>
      <x:c r="N4" s="41" t="str">
        <x:v>Priority score (3-15)</x:v>
      </x:c>
      <x:c r="O4" s="41" t="str">
        <x:v>Qualification status (Gates 0-1)</x:v>
      </x:c>
      <x:c r="P4" s="41" t="str">
        <x:v>Gate 1 disposition</x:v>
      </x:c>
      <x:c r="Q4" s="41" t="str">
        <x:v>Proposed wave</x:v>
      </x:c>
      <x:c r="R4" s="41" t="str">
        <x:v>Next action</x:v>
      </x:c>
      <x:c r="S4" s="41" t="str">
        <x:v>Evidence / rationale</x:v>
      </x:c>
    </x:row>
    <x:row r="5" ht="44" customHeight="1">
      <x:c r="A5" s="51" t="str">
        <x:v>P01</x:v>
      </x:c>
      <x:c r="B5" s="51" t="str">
        <x:v>Inspection Completion</x:v>
      </x:c>
      <x:c r="C5" s="51" t="str">
        <x:v>Proof candidate</x:v>
      </x:c>
      <x:c r="D5" s="51" t="str">
        <x:v>Not deployed or executed; workspace had expired</x:v>
      </x:c>
      <x:c r="E5" s="51"/>
      <x:c r="F5" s="51"/>
      <x:c r="G5" s="51"/>
      <x:c r="H5" s="51"/>
      <x:c r="I5" s="51"/>
      <x:c r="J5" s="51"/>
      <x:c r="K5" s="51"/>
      <x:c r="L5" s="51"/>
      <x:c r="M5" s="51"/>
      <x:c r="N5" s="78" t="str">
        <x:f>IF($A5="","",IF(OR($K5="",$L5="",$M5="") ,"",SUM($K5:$L5)+6-$M5))</x:f>
      </x:c>
      <x:c r="O5" s="78" t="str">
        <x:f>IF($A5="","",IF(COUNTIFS('Gate Checklist'!$A$5:$A$204,$A5,'Gate Checklist'!$B$5:$B$204,0,'Gate Checklist'!$D$5:$D$204,"Fail")+COUNTIFS('Gate Checklist'!$A$5:$A$204,$A5,'Gate Checklist'!$B$5:$B$204,1,'Gate Checklist'!$D$5:$D$204,"Fail")&gt;0,"BLOCKED",IF(AND(COUNTIFS('Gate Checklist'!$A$5:$A$204,$A5,'Gate Checklist'!$B$5:$B$204,0,'Gate Checklist'!$D$5:$D$204,"Pass")&gt;0,COUNTIFS('Gate Checklist'!$A$5:$A$204,$A5,'Gate Checklist'!$B$5:$B$204,1,'Gate Checklist'!$D$5:$D$204,"Pass")&gt;0),IF($P5="Ready for mapping","READY FOR MAPPING",IF($P5="Ready with remediation","READY WITH REMEDIATION",IF($P5="Deferred","DEFERRED","DISPOSITION REQUIRED"))),IF(COUNTIFS('Gate Checklist'!$A$5:$A$204,$A5,'Gate Checklist'!$B$5:$B$204,0,'Gate Checklist'!$D$5:$D$204,"Pass")+COUNTIFS('Gate Checklist'!$A$5:$A$204,$A5,'Gate Checklist'!$B$5:$B$204,1,'Gate Checklist'!$D$5:$D$204,"Pass")&gt;0,"IN PROGRESS","NOT ASSESSED"))))</x:f>
        <x:v>NOT ASSESSED</x:v>
      </x:c>
      <x:c r="P5" s="51"/>
      <x:c r="Q5" s="51"/>
      <x:c r="R5" s="78" t="str">
        <x:v>Re-establish source, owner, use, and execution environment; then decide whether to rerun proof.</x:v>
      </x:c>
      <x:c r="S5" s="51" t="str">
        <x:v>Phase 3 closeout context; verify against repository</x:v>
      </x:c>
    </x:row>
    <x:row r="6" ht="44" customHeight="1">
      <x:c r="A6" s="54" t="str">
        <x:v>P02</x:v>
      </x:c>
      <x:c r="B6" s="54" t="str">
        <x:v>Application Processing Time</x:v>
      </x:c>
      <x:c r="C6" s="54" t="str">
        <x:v>Proof candidate</x:v>
      </x:c>
      <x:c r="D6" s="54" t="str">
        <x:v>Deterministic proof outstanding</x:v>
      </x:c>
      <x:c r="E6" s="54"/>
      <x:c r="F6" s="54"/>
      <x:c r="G6" s="54"/>
      <x:c r="H6" s="54"/>
      <x:c r="I6" s="54"/>
      <x:c r="J6" s="54"/>
      <x:c r="K6" s="54"/>
      <x:c r="L6" s="54"/>
      <x:c r="M6" s="54"/>
      <x:c r="N6" s="79" t="str">
        <x:f>IF($A6="","",IF(OR($K6="",$L6="",$M6="") ,"",SUM($K6:$L6)+6-$M6))</x:f>
      </x:c>
      <x:c r="O6" s="79" t="str">
        <x:f>IF($A6="","",IF(COUNTIFS('Gate Checklist'!$A$5:$A$204,$A6,'Gate Checklist'!$B$5:$B$204,0,'Gate Checklist'!$D$5:$D$204,"Fail")+COUNTIFS('Gate Checklist'!$A$5:$A$204,$A6,'Gate Checklist'!$B$5:$B$204,1,'Gate Checklist'!$D$5:$D$204,"Fail")&gt;0,"BLOCKED",IF(AND(COUNTIFS('Gate Checklist'!$A$5:$A$204,$A6,'Gate Checklist'!$B$5:$B$204,0,'Gate Checklist'!$D$5:$D$204,"Pass")&gt;0,COUNTIFS('Gate Checklist'!$A$5:$A$204,$A6,'Gate Checklist'!$B$5:$B$204,1,'Gate Checklist'!$D$5:$D$204,"Pass")&gt;0),IF($P6="Ready for mapping","READY FOR MAPPING",IF($P6="Ready with remediation","READY WITH REMEDIATION",IF($P6="Deferred","DEFERRED","DISPOSITION REQUIRED"))),IF(COUNTIFS('Gate Checklist'!$A$5:$A$204,$A6,'Gate Checklist'!$B$5:$B$204,0,'Gate Checklist'!$D$5:$D$204,"Pass")+COUNTIFS('Gate Checklist'!$A$5:$A$204,$A6,'Gate Checklist'!$B$5:$B$204,1,'Gate Checklist'!$D$5:$D$204,"Pass")&gt;0,"IN PROGRESS","NOT ASSESSED"))))</x:f>
        <x:v>NOT ASSESSED</x:v>
      </x:c>
      <x:c r="P6" s="54"/>
      <x:c r="Q6" s="54"/>
      <x:c r="R6" s="79" t="str">
        <x:v>Identify source, owner, business definition, output, and validation criteria.</x:v>
      </x:c>
      <x:c r="S6" s="54" t="str">
        <x:v>Phase 3 closeout context; verify against repository</x:v>
      </x:c>
    </x:row>
    <x:row r="7" ht="44" customHeight="1">
      <x:c r="A7" s="54" t="str">
        <x:v>P03</x:v>
      </x:c>
      <x:c r="B7" s="54" t="str">
        <x:v>Portability Activity</x:v>
      </x:c>
      <x:c r="C7" s="54" t="str">
        <x:v>Proof candidate</x:v>
      </x:c>
      <x:c r="D7" s="54" t="str">
        <x:v>Deterministic proof outstanding</x:v>
      </x:c>
      <x:c r="E7" s="54"/>
      <x:c r="F7" s="54"/>
      <x:c r="G7" s="54"/>
      <x:c r="H7" s="54"/>
      <x:c r="I7" s="54"/>
      <x:c r="J7" s="54"/>
      <x:c r="K7" s="54"/>
      <x:c r="L7" s="54"/>
      <x:c r="M7" s="54"/>
      <x:c r="N7" s="79" t="str">
        <x:f>IF($A7="","",IF(OR($K7="",$L7="",$M7="") ,"",SUM($K7:$L7)+6-$M7))</x:f>
      </x:c>
      <x:c r="O7" s="79" t="str">
        <x:f>IF($A7="","",IF(COUNTIFS('Gate Checklist'!$A$5:$A$204,$A7,'Gate Checklist'!$B$5:$B$204,0,'Gate Checklist'!$D$5:$D$204,"Fail")+COUNTIFS('Gate Checklist'!$A$5:$A$204,$A7,'Gate Checklist'!$B$5:$B$204,1,'Gate Checklist'!$D$5:$D$204,"Fail")&gt;0,"BLOCKED",IF(AND(COUNTIFS('Gate Checklist'!$A$5:$A$204,$A7,'Gate Checklist'!$B$5:$B$204,0,'Gate Checklist'!$D$5:$D$204,"Pass")&gt;0,COUNTIFS('Gate Checklist'!$A$5:$A$204,$A7,'Gate Checklist'!$B$5:$B$204,1,'Gate Checklist'!$D$5:$D$204,"Pass")&gt;0),IF($P7="Ready for mapping","READY FOR MAPPING",IF($P7="Ready with remediation","READY WITH REMEDIATION",IF($P7="Deferred","DEFERRED","DISPOSITION REQUIRED"))),IF(COUNTIFS('Gate Checklist'!$A$5:$A$204,$A7,'Gate Checklist'!$B$5:$B$204,0,'Gate Checklist'!$D$5:$D$204,"Pass")+COUNTIFS('Gate Checklist'!$A$5:$A$204,$A7,'Gate Checklist'!$B$5:$B$204,1,'Gate Checklist'!$D$5:$D$204,"Pass")&gt;0,"IN PROGRESS","NOT ASSESSED"))))</x:f>
        <x:v>NOT ASSESSED</x:v>
      </x:c>
      <x:c r="P7" s="54"/>
      <x:c r="Q7" s="54"/>
      <x:c r="R7" s="79" t="str">
        <x:v>Identify source, owner, business definition, output, and validation criteria.</x:v>
      </x:c>
      <x:c r="S7" s="54" t="str">
        <x:v>Phase 3 closeout context; verify against repository</x:v>
      </x:c>
    </x:row>
    <x:row r="8" ht="44" customHeight="1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79" t="str">
        <x:f>IF($A8="","",IF(OR($K8="",$L8="",$M8="") ,"",SUM($K8:$L8)+6-$M8))</x:f>
      </x:c>
      <x:c r="O8" s="79" t="str">
        <x:f>IF($A8="","",IF(COUNTIFS('Gate Checklist'!$A$5:$A$204,$A8,'Gate Checklist'!$B$5:$B$204,0,'Gate Checklist'!$D$5:$D$204,"Fail")+COUNTIFS('Gate Checklist'!$A$5:$A$204,$A8,'Gate Checklist'!$B$5:$B$204,1,'Gate Checklist'!$D$5:$D$204,"Fail")&gt;0,"BLOCKED",IF(AND(COUNTIFS('Gate Checklist'!$A$5:$A$204,$A8,'Gate Checklist'!$B$5:$B$204,0,'Gate Checklist'!$D$5:$D$204,"Pass")&gt;0,COUNTIFS('Gate Checklist'!$A$5:$A$204,$A8,'Gate Checklist'!$B$5:$B$204,1,'Gate Checklist'!$D$5:$D$204,"Pass")&gt;0),IF($P8="Ready for mapping","READY FOR MAPPING",IF($P8="Ready with remediation","READY WITH REMEDIATION",IF($P8="Deferred","DEFERRED","DISPOSITION REQUIRED"))),IF(COUNTIFS('Gate Checklist'!$A$5:$A$204,$A8,'Gate Checklist'!$B$5:$B$204,0,'Gate Checklist'!$D$5:$D$204,"Pass")+COUNTIFS('Gate Checklist'!$A$5:$A$204,$A8,'Gate Checklist'!$B$5:$B$204,1,'Gate Checklist'!$D$5:$D$204,"Pass")&gt;0,"IN PROGRESS","NOT ASSESSED"))))</x:f>
      </x:c>
      <x:c r="P8" s="54"/>
      <x:c r="Q8" s="54"/>
      <x:c r="R8" s="79"/>
      <x:c r="S8" s="54"/>
    </x:row>
    <x:row r="9" ht="44" customHeight="1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79" t="str">
        <x:f>IF($A9="","",IF(OR($K9="",$L9="",$M9="") ,"",SUM($K9:$L9)+6-$M9))</x:f>
      </x:c>
      <x:c r="O9" s="79" t="str">
        <x:f>IF($A9="","",IF(COUNTIFS('Gate Checklist'!$A$5:$A$204,$A9,'Gate Checklist'!$B$5:$B$204,0,'Gate Checklist'!$D$5:$D$204,"Fail")+COUNTIFS('Gate Checklist'!$A$5:$A$204,$A9,'Gate Checklist'!$B$5:$B$204,1,'Gate Checklist'!$D$5:$D$204,"Fail")&gt;0,"BLOCKED",IF(AND(COUNTIFS('Gate Checklist'!$A$5:$A$204,$A9,'Gate Checklist'!$B$5:$B$204,0,'Gate Checklist'!$D$5:$D$204,"Pass")&gt;0,COUNTIFS('Gate Checklist'!$A$5:$A$204,$A9,'Gate Checklist'!$B$5:$B$204,1,'Gate Checklist'!$D$5:$D$204,"Pass")&gt;0),IF($P9="Ready for mapping","READY FOR MAPPING",IF($P9="Ready with remediation","READY WITH REMEDIATION",IF($P9="Deferred","DEFERRED","DISPOSITION REQUIRED"))),IF(COUNTIFS('Gate Checklist'!$A$5:$A$204,$A9,'Gate Checklist'!$B$5:$B$204,0,'Gate Checklist'!$D$5:$D$204,"Pass")+COUNTIFS('Gate Checklist'!$A$5:$A$204,$A9,'Gate Checklist'!$B$5:$B$204,1,'Gate Checklist'!$D$5:$D$204,"Pass")&gt;0,"IN PROGRESS","NOT ASSESSED"))))</x:f>
      </x:c>
      <x:c r="P9" s="54"/>
      <x:c r="Q9" s="54"/>
      <x:c r="R9" s="79"/>
      <x:c r="S9" s="54"/>
    </x:row>
    <x:row r="10" ht="44" customHeight="1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79" t="str">
        <x:f>IF($A10="","",IF(OR($K10="",$L10="",$M10="") ,"",SUM($K10:$L10)+6-$M10))</x:f>
      </x:c>
      <x:c r="O10" s="79" t="str">
        <x:f>IF($A10="","",IF(COUNTIFS('Gate Checklist'!$A$5:$A$204,$A10,'Gate Checklist'!$B$5:$B$204,0,'Gate Checklist'!$D$5:$D$204,"Fail")+COUNTIFS('Gate Checklist'!$A$5:$A$204,$A10,'Gate Checklist'!$B$5:$B$204,1,'Gate Checklist'!$D$5:$D$204,"Fail")&gt;0,"BLOCKED",IF(AND(COUNTIFS('Gate Checklist'!$A$5:$A$204,$A10,'Gate Checklist'!$B$5:$B$204,0,'Gate Checklist'!$D$5:$D$204,"Pass")&gt;0,COUNTIFS('Gate Checklist'!$A$5:$A$204,$A10,'Gate Checklist'!$B$5:$B$204,1,'Gate Checklist'!$D$5:$D$204,"Pass")&gt;0),IF($P10="Ready for mapping","READY FOR MAPPING",IF($P10="Ready with remediation","READY WITH REMEDIATION",IF($P10="Deferred","DEFERRED","DISPOSITION REQUIRED"))),IF(COUNTIFS('Gate Checklist'!$A$5:$A$204,$A10,'Gate Checklist'!$B$5:$B$204,0,'Gate Checklist'!$D$5:$D$204,"Pass")+COUNTIFS('Gate Checklist'!$A$5:$A$204,$A10,'Gate Checklist'!$B$5:$B$204,1,'Gate Checklist'!$D$5:$D$204,"Pass")&gt;0,"IN PROGRESS","NOT ASSESSED"))))</x:f>
      </x:c>
      <x:c r="P10" s="54"/>
      <x:c r="Q10" s="54"/>
      <x:c r="R10" s="79"/>
      <x:c r="S10" s="54"/>
    </x:row>
    <x:row r="11" ht="44" customHeight="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79" t="str">
        <x:f>IF($A11="","",IF(OR($K11="",$L11="",$M11="") ,"",SUM($K11:$L11)+6-$M11))</x:f>
      </x:c>
      <x:c r="O11" s="79" t="str">
        <x:f>IF($A11="","",IF(COUNTIFS('Gate Checklist'!$A$5:$A$204,$A11,'Gate Checklist'!$B$5:$B$204,0,'Gate Checklist'!$D$5:$D$204,"Fail")+COUNTIFS('Gate Checklist'!$A$5:$A$204,$A11,'Gate Checklist'!$B$5:$B$204,1,'Gate Checklist'!$D$5:$D$204,"Fail")&gt;0,"BLOCKED",IF(AND(COUNTIFS('Gate Checklist'!$A$5:$A$204,$A11,'Gate Checklist'!$B$5:$B$204,0,'Gate Checklist'!$D$5:$D$204,"Pass")&gt;0,COUNTIFS('Gate Checklist'!$A$5:$A$204,$A11,'Gate Checklist'!$B$5:$B$204,1,'Gate Checklist'!$D$5:$D$204,"Pass")&gt;0),IF($P11="Ready for mapping","READY FOR MAPPING",IF($P11="Ready with remediation","READY WITH REMEDIATION",IF($P11="Deferred","DEFERRED","DISPOSITION REQUIRED"))),IF(COUNTIFS('Gate Checklist'!$A$5:$A$204,$A11,'Gate Checklist'!$B$5:$B$204,0,'Gate Checklist'!$D$5:$D$204,"Pass")+COUNTIFS('Gate Checklist'!$A$5:$A$204,$A11,'Gate Checklist'!$B$5:$B$204,1,'Gate Checklist'!$D$5:$D$204,"Pass")&gt;0,"IN PROGRESS","NOT ASSESSED"))))</x:f>
      </x:c>
      <x:c r="P11" s="54"/>
      <x:c r="Q11" s="54"/>
      <x:c r="R11" s="79"/>
      <x:c r="S11" s="54"/>
    </x:row>
    <x:row r="12" ht="44" customHeight="1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79" t="str">
        <x:f>IF($A12="","",IF(OR($K12="",$L12="",$M12="") ,"",SUM($K12:$L12)+6-$M12))</x:f>
      </x:c>
      <x:c r="O12" s="79" t="str">
        <x:f>IF($A12="","",IF(COUNTIFS('Gate Checklist'!$A$5:$A$204,$A12,'Gate Checklist'!$B$5:$B$204,0,'Gate Checklist'!$D$5:$D$204,"Fail")+COUNTIFS('Gate Checklist'!$A$5:$A$204,$A12,'Gate Checklist'!$B$5:$B$204,1,'Gate Checklist'!$D$5:$D$204,"Fail")&gt;0,"BLOCKED",IF(AND(COUNTIFS('Gate Checklist'!$A$5:$A$204,$A12,'Gate Checklist'!$B$5:$B$204,0,'Gate Checklist'!$D$5:$D$204,"Pass")&gt;0,COUNTIFS('Gate Checklist'!$A$5:$A$204,$A12,'Gate Checklist'!$B$5:$B$204,1,'Gate Checklist'!$D$5:$D$204,"Pass")&gt;0),IF($P12="Ready for mapping","READY FOR MAPPING",IF($P12="Ready with remediation","READY WITH REMEDIATION",IF($P12="Deferred","DEFERRED","DISPOSITION REQUIRED"))),IF(COUNTIFS('Gate Checklist'!$A$5:$A$204,$A12,'Gate Checklist'!$B$5:$B$204,0,'Gate Checklist'!$D$5:$D$204,"Pass")+COUNTIFS('Gate Checklist'!$A$5:$A$204,$A12,'Gate Checklist'!$B$5:$B$204,1,'Gate Checklist'!$D$5:$D$204,"Pass")&gt;0,"IN PROGRESS","NOT ASSESSED"))))</x:f>
      </x:c>
      <x:c r="P12" s="54"/>
      <x:c r="Q12" s="54"/>
      <x:c r="R12" s="79"/>
      <x:c r="S12" s="54"/>
    </x:row>
    <x:row r="13" ht="44" customHeight="1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79" t="str">
        <x:f>IF($A13="","",IF(OR($K13="",$L13="",$M13="") ,"",SUM($K13:$L13)+6-$M13))</x:f>
      </x:c>
      <x:c r="O13" s="79" t="str">
        <x:f>IF($A13="","",IF(COUNTIFS('Gate Checklist'!$A$5:$A$204,$A13,'Gate Checklist'!$B$5:$B$204,0,'Gate Checklist'!$D$5:$D$204,"Fail")+COUNTIFS('Gate Checklist'!$A$5:$A$204,$A13,'Gate Checklist'!$B$5:$B$204,1,'Gate Checklist'!$D$5:$D$204,"Fail")&gt;0,"BLOCKED",IF(AND(COUNTIFS('Gate Checklist'!$A$5:$A$204,$A13,'Gate Checklist'!$B$5:$B$204,0,'Gate Checklist'!$D$5:$D$204,"Pass")&gt;0,COUNTIFS('Gate Checklist'!$A$5:$A$204,$A13,'Gate Checklist'!$B$5:$B$204,1,'Gate Checklist'!$D$5:$D$204,"Pass")&gt;0),IF($P13="Ready for mapping","READY FOR MAPPING",IF($P13="Ready with remediation","READY WITH REMEDIATION",IF($P13="Deferred","DEFERRED","DISPOSITION REQUIRED"))),IF(COUNTIFS('Gate Checklist'!$A$5:$A$204,$A13,'Gate Checklist'!$B$5:$B$204,0,'Gate Checklist'!$D$5:$D$204,"Pass")+COUNTIFS('Gate Checklist'!$A$5:$A$204,$A13,'Gate Checklist'!$B$5:$B$204,1,'Gate Checklist'!$D$5:$D$204,"Pass")&gt;0,"IN PROGRESS","NOT ASSESSED"))))</x:f>
      </x:c>
      <x:c r="P13" s="54"/>
      <x:c r="Q13" s="54"/>
      <x:c r="R13" s="79"/>
      <x:c r="S13" s="54"/>
    </x:row>
    <x:row r="14" ht="44" customHeight="1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79" t="str">
        <x:f>IF($A14="","",IF(OR($K14="",$L14="",$M14="") ,"",SUM($K14:$L14)+6-$M14))</x:f>
      </x:c>
      <x:c r="O14" s="79" t="str">
        <x:f>IF($A14="","",IF(COUNTIFS('Gate Checklist'!$A$5:$A$204,$A14,'Gate Checklist'!$B$5:$B$204,0,'Gate Checklist'!$D$5:$D$204,"Fail")+COUNTIFS('Gate Checklist'!$A$5:$A$204,$A14,'Gate Checklist'!$B$5:$B$204,1,'Gate Checklist'!$D$5:$D$204,"Fail")&gt;0,"BLOCKED",IF(AND(COUNTIFS('Gate Checklist'!$A$5:$A$204,$A14,'Gate Checklist'!$B$5:$B$204,0,'Gate Checklist'!$D$5:$D$204,"Pass")&gt;0,COUNTIFS('Gate Checklist'!$A$5:$A$204,$A14,'Gate Checklist'!$B$5:$B$204,1,'Gate Checklist'!$D$5:$D$204,"Pass")&gt;0),IF($P14="Ready for mapping","READY FOR MAPPING",IF($P14="Ready with remediation","READY WITH REMEDIATION",IF($P14="Deferred","DEFERRED","DISPOSITION REQUIRED"))),IF(COUNTIFS('Gate Checklist'!$A$5:$A$204,$A14,'Gate Checklist'!$B$5:$B$204,0,'Gate Checklist'!$D$5:$D$204,"Pass")+COUNTIFS('Gate Checklist'!$A$5:$A$204,$A14,'Gate Checklist'!$B$5:$B$204,1,'Gate Checklist'!$D$5:$D$204,"Pass")&gt;0,"IN PROGRESS","NOT ASSESSED"))))</x:f>
      </x:c>
      <x:c r="P14" s="54"/>
      <x:c r="Q14" s="54"/>
      <x:c r="R14" s="79"/>
      <x:c r="S14" s="54"/>
    </x:row>
    <x:row r="15" ht="44" customHeight="1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79" t="str">
        <x:f>IF($A15="","",IF(OR($K15="",$L15="",$M15="") ,"",SUM($K15:$L15)+6-$M15))</x:f>
      </x:c>
      <x:c r="O15" s="79" t="str">
        <x:f>IF($A15="","",IF(COUNTIFS('Gate Checklist'!$A$5:$A$204,$A15,'Gate Checklist'!$B$5:$B$204,0,'Gate Checklist'!$D$5:$D$204,"Fail")+COUNTIFS('Gate Checklist'!$A$5:$A$204,$A15,'Gate Checklist'!$B$5:$B$204,1,'Gate Checklist'!$D$5:$D$204,"Fail")&gt;0,"BLOCKED",IF(AND(COUNTIFS('Gate Checklist'!$A$5:$A$204,$A15,'Gate Checklist'!$B$5:$B$204,0,'Gate Checklist'!$D$5:$D$204,"Pass")&gt;0,COUNTIFS('Gate Checklist'!$A$5:$A$204,$A15,'Gate Checklist'!$B$5:$B$204,1,'Gate Checklist'!$D$5:$D$204,"Pass")&gt;0),IF($P15="Ready for mapping","READY FOR MAPPING",IF($P15="Ready with remediation","READY WITH REMEDIATION",IF($P15="Deferred","DEFERRED","DISPOSITION REQUIRED"))),IF(COUNTIFS('Gate Checklist'!$A$5:$A$204,$A15,'Gate Checklist'!$B$5:$B$204,0,'Gate Checklist'!$D$5:$D$204,"Pass")+COUNTIFS('Gate Checklist'!$A$5:$A$204,$A15,'Gate Checklist'!$B$5:$B$204,1,'Gate Checklist'!$D$5:$D$204,"Pass")&gt;0,"IN PROGRESS","NOT ASSESSED"))))</x:f>
      </x:c>
      <x:c r="P15" s="54"/>
      <x:c r="Q15" s="54"/>
      <x:c r="R15" s="79"/>
      <x:c r="S15" s="54"/>
    </x:row>
    <x:row r="16" ht="44" customHeight="1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79" t="str">
        <x:f>IF($A16="","",IF(OR($K16="",$L16="",$M16="") ,"",SUM($K16:$L16)+6-$M16))</x:f>
      </x:c>
      <x:c r="O16" s="79" t="str">
        <x:f>IF($A16="","",IF(COUNTIFS('Gate Checklist'!$A$5:$A$204,$A16,'Gate Checklist'!$B$5:$B$204,0,'Gate Checklist'!$D$5:$D$204,"Fail")+COUNTIFS('Gate Checklist'!$A$5:$A$204,$A16,'Gate Checklist'!$B$5:$B$204,1,'Gate Checklist'!$D$5:$D$204,"Fail")&gt;0,"BLOCKED",IF(AND(COUNTIFS('Gate Checklist'!$A$5:$A$204,$A16,'Gate Checklist'!$B$5:$B$204,0,'Gate Checklist'!$D$5:$D$204,"Pass")&gt;0,COUNTIFS('Gate Checklist'!$A$5:$A$204,$A16,'Gate Checklist'!$B$5:$B$204,1,'Gate Checklist'!$D$5:$D$204,"Pass")&gt;0),IF($P16="Ready for mapping","READY FOR MAPPING",IF($P16="Ready with remediation","READY WITH REMEDIATION",IF($P16="Deferred","DEFERRED","DISPOSITION REQUIRED"))),IF(COUNTIFS('Gate Checklist'!$A$5:$A$204,$A16,'Gate Checklist'!$B$5:$B$204,0,'Gate Checklist'!$D$5:$D$204,"Pass")+COUNTIFS('Gate Checklist'!$A$5:$A$204,$A16,'Gate Checklist'!$B$5:$B$204,1,'Gate Checklist'!$D$5:$D$204,"Pass")&gt;0,"IN PROGRESS","NOT ASSESSED"))))</x:f>
      </x:c>
      <x:c r="P16" s="54"/>
      <x:c r="Q16" s="54"/>
      <x:c r="R16" s="79"/>
      <x:c r="S16" s="54"/>
    </x:row>
    <x:row r="17" ht="44" customHeight="1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79" t="str">
        <x:f>IF($A17="","",IF(OR($K17="",$L17="",$M17="") ,"",SUM($K17:$L17)+6-$M17))</x:f>
      </x:c>
      <x:c r="O17" s="79" t="str">
        <x:f>IF($A17="","",IF(COUNTIFS('Gate Checklist'!$A$5:$A$204,$A17,'Gate Checklist'!$B$5:$B$204,0,'Gate Checklist'!$D$5:$D$204,"Fail")+COUNTIFS('Gate Checklist'!$A$5:$A$204,$A17,'Gate Checklist'!$B$5:$B$204,1,'Gate Checklist'!$D$5:$D$204,"Fail")&gt;0,"BLOCKED",IF(AND(COUNTIFS('Gate Checklist'!$A$5:$A$204,$A17,'Gate Checklist'!$B$5:$B$204,0,'Gate Checklist'!$D$5:$D$204,"Pass")&gt;0,COUNTIFS('Gate Checklist'!$A$5:$A$204,$A17,'Gate Checklist'!$B$5:$B$204,1,'Gate Checklist'!$D$5:$D$204,"Pass")&gt;0),IF($P17="Ready for mapping","READY FOR MAPPING",IF($P17="Ready with remediation","READY WITH REMEDIATION",IF($P17="Deferred","DEFERRED","DISPOSITION REQUIRED"))),IF(COUNTIFS('Gate Checklist'!$A$5:$A$204,$A17,'Gate Checklist'!$B$5:$B$204,0,'Gate Checklist'!$D$5:$D$204,"Pass")+COUNTIFS('Gate Checklist'!$A$5:$A$204,$A17,'Gate Checklist'!$B$5:$B$204,1,'Gate Checklist'!$D$5:$D$204,"Pass")&gt;0,"IN PROGRESS","NOT ASSESSED"))))</x:f>
      </x:c>
      <x:c r="P17" s="54"/>
      <x:c r="Q17" s="54"/>
      <x:c r="R17" s="79"/>
      <x:c r="S17" s="54"/>
    </x:row>
    <x:row r="18" ht="44" customHeight="1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79" t="str">
        <x:f>IF($A18="","",IF(OR($K18="",$L18="",$M18="") ,"",SUM($K18:$L18)+6-$M18))</x:f>
      </x:c>
      <x:c r="O18" s="79" t="str">
        <x:f>IF($A18="","",IF(COUNTIFS('Gate Checklist'!$A$5:$A$204,$A18,'Gate Checklist'!$B$5:$B$204,0,'Gate Checklist'!$D$5:$D$204,"Fail")+COUNTIFS('Gate Checklist'!$A$5:$A$204,$A18,'Gate Checklist'!$B$5:$B$204,1,'Gate Checklist'!$D$5:$D$204,"Fail")&gt;0,"BLOCKED",IF(AND(COUNTIFS('Gate Checklist'!$A$5:$A$204,$A18,'Gate Checklist'!$B$5:$B$204,0,'Gate Checklist'!$D$5:$D$204,"Pass")&gt;0,COUNTIFS('Gate Checklist'!$A$5:$A$204,$A18,'Gate Checklist'!$B$5:$B$204,1,'Gate Checklist'!$D$5:$D$204,"Pass")&gt;0),IF($P18="Ready for mapping","READY FOR MAPPING",IF($P18="Ready with remediation","READY WITH REMEDIATION",IF($P18="Deferred","DEFERRED","DISPOSITION REQUIRED"))),IF(COUNTIFS('Gate Checklist'!$A$5:$A$204,$A18,'Gate Checklist'!$B$5:$B$204,0,'Gate Checklist'!$D$5:$D$204,"Pass")+COUNTIFS('Gate Checklist'!$A$5:$A$204,$A18,'Gate Checklist'!$B$5:$B$204,1,'Gate Checklist'!$D$5:$D$204,"Pass")&gt;0,"IN PROGRESS","NOT ASSESSED"))))</x:f>
      </x:c>
      <x:c r="P18" s="54"/>
      <x:c r="Q18" s="54"/>
      <x:c r="R18" s="79"/>
      <x:c r="S18" s="54"/>
    </x:row>
    <x:row r="19" ht="44" customHeight="1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79" t="str">
        <x:f>IF($A19="","",IF(OR($K19="",$L19="",$M19="") ,"",SUM($K19:$L19)+6-$M19))</x:f>
      </x:c>
      <x:c r="O19" s="79" t="str">
        <x:f>IF($A19="","",IF(COUNTIFS('Gate Checklist'!$A$5:$A$204,$A19,'Gate Checklist'!$B$5:$B$204,0,'Gate Checklist'!$D$5:$D$204,"Fail")+COUNTIFS('Gate Checklist'!$A$5:$A$204,$A19,'Gate Checklist'!$B$5:$B$204,1,'Gate Checklist'!$D$5:$D$204,"Fail")&gt;0,"BLOCKED",IF(AND(COUNTIFS('Gate Checklist'!$A$5:$A$204,$A19,'Gate Checklist'!$B$5:$B$204,0,'Gate Checklist'!$D$5:$D$204,"Pass")&gt;0,COUNTIFS('Gate Checklist'!$A$5:$A$204,$A19,'Gate Checklist'!$B$5:$B$204,1,'Gate Checklist'!$D$5:$D$204,"Pass")&gt;0),IF($P19="Ready for mapping","READY FOR MAPPING",IF($P19="Ready with remediation","READY WITH REMEDIATION",IF($P19="Deferred","DEFERRED","DISPOSITION REQUIRED"))),IF(COUNTIFS('Gate Checklist'!$A$5:$A$204,$A19,'Gate Checklist'!$B$5:$B$204,0,'Gate Checklist'!$D$5:$D$204,"Pass")+COUNTIFS('Gate Checklist'!$A$5:$A$204,$A19,'Gate Checklist'!$B$5:$B$204,1,'Gate Checklist'!$D$5:$D$204,"Pass")&gt;0,"IN PROGRESS","NOT ASSESSED"))))</x:f>
      </x:c>
      <x:c r="P19" s="54"/>
      <x:c r="Q19" s="54"/>
      <x:c r="R19" s="79"/>
      <x:c r="S19" s="54"/>
    </x:row>
    <x:row r="20" ht="44" customHeight="1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79" t="str">
        <x:f>IF($A20="","",IF(OR($K20="",$L20="",$M20="") ,"",SUM($K20:$L20)+6-$M20))</x:f>
      </x:c>
      <x:c r="O20" s="79" t="str">
        <x:f>IF($A20="","",IF(COUNTIFS('Gate Checklist'!$A$5:$A$204,$A20,'Gate Checklist'!$B$5:$B$204,0,'Gate Checklist'!$D$5:$D$204,"Fail")+COUNTIFS('Gate Checklist'!$A$5:$A$204,$A20,'Gate Checklist'!$B$5:$B$204,1,'Gate Checklist'!$D$5:$D$204,"Fail")&gt;0,"BLOCKED",IF(AND(COUNTIFS('Gate Checklist'!$A$5:$A$204,$A20,'Gate Checklist'!$B$5:$B$204,0,'Gate Checklist'!$D$5:$D$204,"Pass")&gt;0,COUNTIFS('Gate Checklist'!$A$5:$A$204,$A20,'Gate Checklist'!$B$5:$B$204,1,'Gate Checklist'!$D$5:$D$204,"Pass")&gt;0),IF($P20="Ready for mapping","READY FOR MAPPING",IF($P20="Ready with remediation","READY WITH REMEDIATION",IF($P20="Deferred","DEFERRED","DISPOSITION REQUIRED"))),IF(COUNTIFS('Gate Checklist'!$A$5:$A$204,$A20,'Gate Checklist'!$B$5:$B$204,0,'Gate Checklist'!$D$5:$D$204,"Pass")+COUNTIFS('Gate Checklist'!$A$5:$A$204,$A20,'Gate Checklist'!$B$5:$B$204,1,'Gate Checklist'!$D$5:$D$204,"Pass")&gt;0,"IN PROGRESS","NOT ASSESSED"))))</x:f>
      </x:c>
      <x:c r="P20" s="54"/>
      <x:c r="Q20" s="54"/>
      <x:c r="R20" s="79"/>
      <x:c r="S20" s="54"/>
    </x:row>
    <x:row r="21" ht="44" customHeight="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79" t="str">
        <x:f>IF($A21="","",IF(OR($K21="",$L21="",$M21="") ,"",SUM($K21:$L21)+6-$M21))</x:f>
      </x:c>
      <x:c r="O21" s="79" t="str">
        <x:f>IF($A21="","",IF(COUNTIFS('Gate Checklist'!$A$5:$A$204,$A21,'Gate Checklist'!$B$5:$B$204,0,'Gate Checklist'!$D$5:$D$204,"Fail")+COUNTIFS('Gate Checklist'!$A$5:$A$204,$A21,'Gate Checklist'!$B$5:$B$204,1,'Gate Checklist'!$D$5:$D$204,"Fail")&gt;0,"BLOCKED",IF(AND(COUNTIFS('Gate Checklist'!$A$5:$A$204,$A21,'Gate Checklist'!$B$5:$B$204,0,'Gate Checklist'!$D$5:$D$204,"Pass")&gt;0,COUNTIFS('Gate Checklist'!$A$5:$A$204,$A21,'Gate Checklist'!$B$5:$B$204,1,'Gate Checklist'!$D$5:$D$204,"Pass")&gt;0),IF($P21="Ready for mapping","READY FOR MAPPING",IF($P21="Ready with remediation","READY WITH REMEDIATION",IF($P21="Deferred","DEFERRED","DISPOSITION REQUIRED"))),IF(COUNTIFS('Gate Checklist'!$A$5:$A$204,$A21,'Gate Checklist'!$B$5:$B$204,0,'Gate Checklist'!$D$5:$D$204,"Pass")+COUNTIFS('Gate Checklist'!$A$5:$A$204,$A21,'Gate Checklist'!$B$5:$B$204,1,'Gate Checklist'!$D$5:$D$204,"Pass")&gt;0,"IN PROGRESS","NOT ASSESSED"))))</x:f>
      </x:c>
      <x:c r="P21" s="54"/>
      <x:c r="Q21" s="54"/>
      <x:c r="R21" s="79"/>
      <x:c r="S21" s="54"/>
    </x:row>
    <x:row r="22" ht="44" customHeight="1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79" t="str">
        <x:f>IF($A22="","",IF(OR($K22="",$L22="",$M22="") ,"",SUM($K22:$L22)+6-$M22))</x:f>
      </x:c>
      <x:c r="O22" s="79" t="str">
        <x:f>IF($A22="","",IF(COUNTIFS('Gate Checklist'!$A$5:$A$204,$A22,'Gate Checklist'!$B$5:$B$204,0,'Gate Checklist'!$D$5:$D$204,"Fail")+COUNTIFS('Gate Checklist'!$A$5:$A$204,$A22,'Gate Checklist'!$B$5:$B$204,1,'Gate Checklist'!$D$5:$D$204,"Fail")&gt;0,"BLOCKED",IF(AND(COUNTIFS('Gate Checklist'!$A$5:$A$204,$A22,'Gate Checklist'!$B$5:$B$204,0,'Gate Checklist'!$D$5:$D$204,"Pass")&gt;0,COUNTIFS('Gate Checklist'!$A$5:$A$204,$A22,'Gate Checklist'!$B$5:$B$204,1,'Gate Checklist'!$D$5:$D$204,"Pass")&gt;0),IF($P22="Ready for mapping","READY FOR MAPPING",IF($P22="Ready with remediation","READY WITH REMEDIATION",IF($P22="Deferred","DEFERRED","DISPOSITION REQUIRED"))),IF(COUNTIFS('Gate Checklist'!$A$5:$A$204,$A22,'Gate Checklist'!$B$5:$B$204,0,'Gate Checklist'!$D$5:$D$204,"Pass")+COUNTIFS('Gate Checklist'!$A$5:$A$204,$A22,'Gate Checklist'!$B$5:$B$204,1,'Gate Checklist'!$D$5:$D$204,"Pass")&gt;0,"IN PROGRESS","NOT ASSESSED"))))</x:f>
      </x:c>
      <x:c r="P22" s="54"/>
      <x:c r="Q22" s="54"/>
      <x:c r="R22" s="79"/>
      <x:c r="S22" s="54"/>
    </x:row>
    <x:row r="23" ht="44" customHeight="1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79" t="str">
        <x:f>IF($A23="","",IF(OR($K23="",$L23="",$M23="") ,"",SUM($K23:$L23)+6-$M23))</x:f>
      </x:c>
      <x:c r="O23" s="79" t="str">
        <x:f>IF($A23="","",IF(COUNTIFS('Gate Checklist'!$A$5:$A$204,$A23,'Gate Checklist'!$B$5:$B$204,0,'Gate Checklist'!$D$5:$D$204,"Fail")+COUNTIFS('Gate Checklist'!$A$5:$A$204,$A23,'Gate Checklist'!$B$5:$B$204,1,'Gate Checklist'!$D$5:$D$204,"Fail")&gt;0,"BLOCKED",IF(AND(COUNTIFS('Gate Checklist'!$A$5:$A$204,$A23,'Gate Checklist'!$B$5:$B$204,0,'Gate Checklist'!$D$5:$D$204,"Pass")&gt;0,COUNTIFS('Gate Checklist'!$A$5:$A$204,$A23,'Gate Checklist'!$B$5:$B$204,1,'Gate Checklist'!$D$5:$D$204,"Pass")&gt;0),IF($P23="Ready for mapping","READY FOR MAPPING",IF($P23="Ready with remediation","READY WITH REMEDIATION",IF($P23="Deferred","DEFERRED","DISPOSITION REQUIRED"))),IF(COUNTIFS('Gate Checklist'!$A$5:$A$204,$A23,'Gate Checklist'!$B$5:$B$204,0,'Gate Checklist'!$D$5:$D$204,"Pass")+COUNTIFS('Gate Checklist'!$A$5:$A$204,$A23,'Gate Checklist'!$B$5:$B$204,1,'Gate Checklist'!$D$5:$D$204,"Pass")&gt;0,"IN PROGRESS","NOT ASSESSED"))))</x:f>
      </x:c>
      <x:c r="P23" s="54"/>
      <x:c r="Q23" s="54"/>
      <x:c r="R23" s="79"/>
      <x:c r="S23" s="54"/>
    </x:row>
    <x:row r="24" ht="44" customHeight="1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80" t="str">
        <x:f>IF($A24="","",IF(OR($K24="",$L24="",$M24="") ,"",SUM($K24:$L24)+6-$M24))</x:f>
      </x:c>
      <x:c r="O24" s="80" t="str">
        <x:f>IF($A24="","",IF(COUNTIFS('Gate Checklist'!$A$5:$A$204,$A24,'Gate Checklist'!$B$5:$B$204,0,'Gate Checklist'!$D$5:$D$204,"Fail")+COUNTIFS('Gate Checklist'!$A$5:$A$204,$A24,'Gate Checklist'!$B$5:$B$204,1,'Gate Checklist'!$D$5:$D$204,"Fail")&gt;0,"BLOCKED",IF(AND(COUNTIFS('Gate Checklist'!$A$5:$A$204,$A24,'Gate Checklist'!$B$5:$B$204,0,'Gate Checklist'!$D$5:$D$204,"Pass")&gt;0,COUNTIFS('Gate Checklist'!$A$5:$A$204,$A24,'Gate Checklist'!$B$5:$B$204,1,'Gate Checklist'!$D$5:$D$204,"Pass")&gt;0),IF($P24="Ready for mapping","READY FOR MAPPING",IF($P24="Ready with remediation","READY WITH REMEDIATION",IF($P24="Deferred","DEFERRED","DISPOSITION REQUIRED"))),IF(COUNTIFS('Gate Checklist'!$A$5:$A$204,$A24,'Gate Checklist'!$B$5:$B$204,0,'Gate Checklist'!$D$5:$D$204,"Pass")+COUNTIFS('Gate Checklist'!$A$5:$A$204,$A24,'Gate Checklist'!$B$5:$B$204,1,'Gate Checklist'!$D$5:$D$204,"Pass")&gt;0,"IN PROGRESS","NOT ASSESSED"))))</x:f>
      </x:c>
      <x:c r="P24" s="57"/>
      <x:c r="Q24" s="57"/>
      <x:c r="R24" s="80"/>
      <x:c r="S24" s="57"/>
    </x:row>
    <x:row r="25">
      <x:c r="K25" s="82"/>
      <x:c r="L25" s="82"/>
      <x:c r="M25" s="82"/>
      <x:c r="N25" s="83" t="str">
        <x:f>IF($A25="","",IF(OR($K25="",$L25="",$M25="") ,"",SUM($K25:$L25)+6-$M25))</x:f>
      </x:c>
      <x:c r="O25" s="83" t="str">
        <x:f>IF($A25="","",IF(COUNTIFS('Gate Checklist'!$A$5:$A$204,$A25,'Gate Checklist'!$B$5:$B$204,0,'Gate Checklist'!$D$5:$D$204,"Fail")+COUNTIFS('Gate Checklist'!$A$5:$A$204,$A25,'Gate Checklist'!$B$5:$B$204,1,'Gate Checklist'!$D$5:$D$204,"Fail")&gt;0,"BLOCKED",IF(AND(COUNTIFS('Gate Checklist'!$A$5:$A$204,$A25,'Gate Checklist'!$B$5:$B$204,0,'Gate Checklist'!$D$5:$D$204,"Pass")&gt;0,COUNTIFS('Gate Checklist'!$A$5:$A$204,$A25,'Gate Checklist'!$B$5:$B$204,1,'Gate Checklist'!$D$5:$D$204,"Pass")&gt;0),IF($P25="Ready for mapping","READY FOR MAPPING",IF($P25="Ready with remediation","READY WITH REMEDIATION",IF($P25="Deferred","DEFERRED","DISPOSITION REQUIRED"))),IF(COUNTIFS('Gate Checklist'!$A$5:$A$204,$A25,'Gate Checklist'!$B$5:$B$204,0,'Gate Checklist'!$D$5:$D$204,"Pass")+COUNTIFS('Gate Checklist'!$A$5:$A$204,$A25,'Gate Checklist'!$B$5:$B$204,1,'Gate Checklist'!$D$5:$D$204,"Pass")&gt;0,"IN PROGRESS","NOT ASSESSED"))))</x:f>
      </x:c>
      <x:c r="P25" s="82"/>
      <x:c r="Q25" s="82"/>
      <x:c r="R25" s="83"/>
      <x:c r="S25" s="82"/>
    </x:row>
    <x:row r="26">
      <x:c r="K26" s="82"/>
      <x:c r="L26" s="82"/>
      <x:c r="M26" s="82"/>
      <x:c r="N26" s="83" t="str">
        <x:f>IF($A26="","",IF(OR($K26="",$L26="",$M26="") ,"",SUM($K26:$L26)+6-$M26))</x:f>
      </x:c>
      <x:c r="O26" s="83" t="str">
        <x:f>IF($A26="","",IF(COUNTIFS('Gate Checklist'!$A$5:$A$204,$A26,'Gate Checklist'!$B$5:$B$204,0,'Gate Checklist'!$D$5:$D$204,"Fail")+COUNTIFS('Gate Checklist'!$A$5:$A$204,$A26,'Gate Checklist'!$B$5:$B$204,1,'Gate Checklist'!$D$5:$D$204,"Fail")&gt;0,"BLOCKED",IF(AND(COUNTIFS('Gate Checklist'!$A$5:$A$204,$A26,'Gate Checklist'!$B$5:$B$204,0,'Gate Checklist'!$D$5:$D$204,"Pass")&gt;0,COUNTIFS('Gate Checklist'!$A$5:$A$204,$A26,'Gate Checklist'!$B$5:$B$204,1,'Gate Checklist'!$D$5:$D$204,"Pass")&gt;0),IF($P26="Ready for mapping","READY FOR MAPPING",IF($P26="Ready with remediation","READY WITH REMEDIATION",IF($P26="Deferred","DEFERRED","DISPOSITION REQUIRED"))),IF(COUNTIFS('Gate Checklist'!$A$5:$A$204,$A26,'Gate Checklist'!$B$5:$B$204,0,'Gate Checklist'!$D$5:$D$204,"Pass")+COUNTIFS('Gate Checklist'!$A$5:$A$204,$A26,'Gate Checklist'!$B$5:$B$204,1,'Gate Checklist'!$D$5:$D$204,"Pass")&gt;0,"IN PROGRESS","NOT ASSESSED"))))</x:f>
      </x:c>
      <x:c r="P26" s="82"/>
      <x:c r="Q26" s="82"/>
      <x:c r="R26" s="83"/>
      <x:c r="S26" s="82"/>
    </x:row>
    <x:row r="27">
      <x:c r="K27" s="82"/>
      <x:c r="L27" s="82"/>
      <x:c r="M27" s="82"/>
      <x:c r="N27" s="83" t="str">
        <x:f>IF($A27="","",IF(OR($K27="",$L27="",$M27="") ,"",SUM($K27:$L27)+6-$M27))</x:f>
      </x:c>
      <x:c r="O27" s="83" t="str">
        <x:f>IF($A27="","",IF(COUNTIFS('Gate Checklist'!$A$5:$A$204,$A27,'Gate Checklist'!$B$5:$B$204,0,'Gate Checklist'!$D$5:$D$204,"Fail")+COUNTIFS('Gate Checklist'!$A$5:$A$204,$A27,'Gate Checklist'!$B$5:$B$204,1,'Gate Checklist'!$D$5:$D$204,"Fail")&gt;0,"BLOCKED",IF(AND(COUNTIFS('Gate Checklist'!$A$5:$A$204,$A27,'Gate Checklist'!$B$5:$B$204,0,'Gate Checklist'!$D$5:$D$204,"Pass")&gt;0,COUNTIFS('Gate Checklist'!$A$5:$A$204,$A27,'Gate Checklist'!$B$5:$B$204,1,'Gate Checklist'!$D$5:$D$204,"Pass")&gt;0),IF($P27="Ready for mapping","READY FOR MAPPING",IF($P27="Ready with remediation","READY WITH REMEDIATION",IF($P27="Deferred","DEFERRED","DISPOSITION REQUIRED"))),IF(COUNTIFS('Gate Checklist'!$A$5:$A$204,$A27,'Gate Checklist'!$B$5:$B$204,0,'Gate Checklist'!$D$5:$D$204,"Pass")+COUNTIFS('Gate Checklist'!$A$5:$A$204,$A27,'Gate Checklist'!$B$5:$B$204,1,'Gate Checklist'!$D$5:$D$204,"Pass")&gt;0,"IN PROGRESS","NOT ASSESSED"))))</x:f>
      </x:c>
      <x:c r="P27" s="82"/>
      <x:c r="Q27" s="82"/>
      <x:c r="R27" s="83"/>
      <x:c r="S27" s="82"/>
    </x:row>
    <x:row r="28">
      <x:c r="K28" s="82"/>
      <x:c r="L28" s="82"/>
      <x:c r="M28" s="82"/>
      <x:c r="N28" s="83" t="str">
        <x:f>IF($A28="","",IF(OR($K28="",$L28="",$M28="") ,"",SUM($K28:$L28)+6-$M28))</x:f>
      </x:c>
      <x:c r="O28" s="83" t="str">
        <x:f>IF($A28="","",IF(COUNTIFS('Gate Checklist'!$A$5:$A$204,$A28,'Gate Checklist'!$B$5:$B$204,0,'Gate Checklist'!$D$5:$D$204,"Fail")+COUNTIFS('Gate Checklist'!$A$5:$A$204,$A28,'Gate Checklist'!$B$5:$B$204,1,'Gate Checklist'!$D$5:$D$204,"Fail")&gt;0,"BLOCKED",IF(AND(COUNTIFS('Gate Checklist'!$A$5:$A$204,$A28,'Gate Checklist'!$B$5:$B$204,0,'Gate Checklist'!$D$5:$D$204,"Pass")&gt;0,COUNTIFS('Gate Checklist'!$A$5:$A$204,$A28,'Gate Checklist'!$B$5:$B$204,1,'Gate Checklist'!$D$5:$D$204,"Pass")&gt;0),IF($P28="Ready for mapping","READY FOR MAPPING",IF($P28="Ready with remediation","READY WITH REMEDIATION",IF($P28="Deferred","DEFERRED","DISPOSITION REQUIRED"))),IF(COUNTIFS('Gate Checklist'!$A$5:$A$204,$A28,'Gate Checklist'!$B$5:$B$204,0,'Gate Checklist'!$D$5:$D$204,"Pass")+COUNTIFS('Gate Checklist'!$A$5:$A$204,$A28,'Gate Checklist'!$B$5:$B$204,1,'Gate Checklist'!$D$5:$D$204,"Pass")&gt;0,"IN PROGRESS","NOT ASSESSED"))))</x:f>
      </x:c>
      <x:c r="P28" s="82"/>
      <x:c r="Q28" s="82"/>
      <x:c r="R28" s="83"/>
      <x:c r="S28" s="82"/>
    </x:row>
    <x:row r="29">
      <x:c r="K29" s="82"/>
      <x:c r="L29" s="82"/>
      <x:c r="M29" s="82"/>
      <x:c r="N29" s="83" t="str">
        <x:f>IF($A29="","",IF(OR($K29="",$L29="",$M29="") ,"",SUM($K29:$L29)+6-$M29))</x:f>
      </x:c>
      <x:c r="O29" s="83" t="str">
        <x:f>IF($A29="","",IF(COUNTIFS('Gate Checklist'!$A$5:$A$204,$A29,'Gate Checklist'!$B$5:$B$204,0,'Gate Checklist'!$D$5:$D$204,"Fail")+COUNTIFS('Gate Checklist'!$A$5:$A$204,$A29,'Gate Checklist'!$B$5:$B$204,1,'Gate Checklist'!$D$5:$D$204,"Fail")&gt;0,"BLOCKED",IF(AND(COUNTIFS('Gate Checklist'!$A$5:$A$204,$A29,'Gate Checklist'!$B$5:$B$204,0,'Gate Checklist'!$D$5:$D$204,"Pass")&gt;0,COUNTIFS('Gate Checklist'!$A$5:$A$204,$A29,'Gate Checklist'!$B$5:$B$204,1,'Gate Checklist'!$D$5:$D$204,"Pass")&gt;0),IF($P29="Ready for mapping","READY FOR MAPPING",IF($P29="Ready with remediation","READY WITH REMEDIATION",IF($P29="Deferred","DEFERRED","DISPOSITION REQUIRED"))),IF(COUNTIFS('Gate Checklist'!$A$5:$A$204,$A29,'Gate Checklist'!$B$5:$B$204,0,'Gate Checklist'!$D$5:$D$204,"Pass")+COUNTIFS('Gate Checklist'!$A$5:$A$204,$A29,'Gate Checklist'!$B$5:$B$204,1,'Gate Checklist'!$D$5:$D$204,"Pass")&gt;0,"IN PROGRESS","NOT ASSESSED"))))</x:f>
      </x:c>
      <x:c r="P29" s="82"/>
      <x:c r="Q29" s="82"/>
      <x:c r="R29" s="83"/>
      <x:c r="S29" s="82"/>
    </x:row>
    <x:row r="30">
      <x:c r="K30" s="82"/>
      <x:c r="L30" s="82"/>
      <x:c r="M30" s="82"/>
      <x:c r="N30" s="83" t="str">
        <x:f>IF($A30="","",IF(OR($K30="",$L30="",$M30="") ,"",SUM($K30:$L30)+6-$M30))</x:f>
      </x:c>
      <x:c r="O30" s="83" t="str">
        <x:f>IF($A30="","",IF(COUNTIFS('Gate Checklist'!$A$5:$A$204,$A30,'Gate Checklist'!$B$5:$B$204,0,'Gate Checklist'!$D$5:$D$204,"Fail")+COUNTIFS('Gate Checklist'!$A$5:$A$204,$A30,'Gate Checklist'!$B$5:$B$204,1,'Gate Checklist'!$D$5:$D$204,"Fail")&gt;0,"BLOCKED",IF(AND(COUNTIFS('Gate Checklist'!$A$5:$A$204,$A30,'Gate Checklist'!$B$5:$B$204,0,'Gate Checklist'!$D$5:$D$204,"Pass")&gt;0,COUNTIFS('Gate Checklist'!$A$5:$A$204,$A30,'Gate Checklist'!$B$5:$B$204,1,'Gate Checklist'!$D$5:$D$204,"Pass")&gt;0),IF($P30="Ready for mapping","READY FOR MAPPING",IF($P30="Ready with remediation","READY WITH REMEDIATION",IF($P30="Deferred","DEFERRED","DISPOSITION REQUIRED"))),IF(COUNTIFS('Gate Checklist'!$A$5:$A$204,$A30,'Gate Checklist'!$B$5:$B$204,0,'Gate Checklist'!$D$5:$D$204,"Pass")+COUNTIFS('Gate Checklist'!$A$5:$A$204,$A30,'Gate Checklist'!$B$5:$B$204,1,'Gate Checklist'!$D$5:$D$204,"Pass")&gt;0,"IN PROGRESS","NOT ASSESSED"))))</x:f>
      </x:c>
      <x:c r="P30" s="82"/>
      <x:c r="Q30" s="82"/>
      <x:c r="R30" s="83"/>
      <x:c r="S30" s="82"/>
    </x:row>
    <x:row r="31">
      <x:c r="K31" s="82"/>
      <x:c r="L31" s="82"/>
      <x:c r="M31" s="82"/>
      <x:c r="N31" s="83" t="str">
        <x:f>IF($A31="","",IF(OR($K31="",$L31="",$M31="") ,"",SUM($K31:$L31)+6-$M31))</x:f>
      </x:c>
      <x:c r="O31" s="83" t="str">
        <x:f>IF($A31="","",IF(COUNTIFS('Gate Checklist'!$A$5:$A$204,$A31,'Gate Checklist'!$B$5:$B$204,0,'Gate Checklist'!$D$5:$D$204,"Fail")+COUNTIFS('Gate Checklist'!$A$5:$A$204,$A31,'Gate Checklist'!$B$5:$B$204,1,'Gate Checklist'!$D$5:$D$204,"Fail")&gt;0,"BLOCKED",IF(AND(COUNTIFS('Gate Checklist'!$A$5:$A$204,$A31,'Gate Checklist'!$B$5:$B$204,0,'Gate Checklist'!$D$5:$D$204,"Pass")&gt;0,COUNTIFS('Gate Checklist'!$A$5:$A$204,$A31,'Gate Checklist'!$B$5:$B$204,1,'Gate Checklist'!$D$5:$D$204,"Pass")&gt;0),IF($P31="Ready for mapping","READY FOR MAPPING",IF($P31="Ready with remediation","READY WITH REMEDIATION",IF($P31="Deferred","DEFERRED","DISPOSITION REQUIRED"))),IF(COUNTIFS('Gate Checklist'!$A$5:$A$204,$A31,'Gate Checklist'!$B$5:$B$204,0,'Gate Checklist'!$D$5:$D$204,"Pass")+COUNTIFS('Gate Checklist'!$A$5:$A$204,$A31,'Gate Checklist'!$B$5:$B$204,1,'Gate Checklist'!$D$5:$D$204,"Pass")&gt;0,"IN PROGRESS","NOT ASSESSED"))))</x:f>
      </x:c>
      <x:c r="P31" s="82"/>
      <x:c r="Q31" s="82"/>
      <x:c r="R31" s="83"/>
      <x:c r="S31" s="82"/>
    </x:row>
    <x:row r="32">
      <x:c r="K32" s="82"/>
      <x:c r="L32" s="82"/>
      <x:c r="M32" s="82"/>
      <x:c r="N32" s="83" t="str">
        <x:f>IF($A32="","",IF(OR($K32="",$L32="",$M32="") ,"",SUM($K32:$L32)+6-$M32))</x:f>
      </x:c>
      <x:c r="O32" s="83" t="str">
        <x:f>IF($A32="","",IF(COUNTIFS('Gate Checklist'!$A$5:$A$204,$A32,'Gate Checklist'!$B$5:$B$204,0,'Gate Checklist'!$D$5:$D$204,"Fail")+COUNTIFS('Gate Checklist'!$A$5:$A$204,$A32,'Gate Checklist'!$B$5:$B$204,1,'Gate Checklist'!$D$5:$D$204,"Fail")&gt;0,"BLOCKED",IF(AND(COUNTIFS('Gate Checklist'!$A$5:$A$204,$A32,'Gate Checklist'!$B$5:$B$204,0,'Gate Checklist'!$D$5:$D$204,"Pass")&gt;0,COUNTIFS('Gate Checklist'!$A$5:$A$204,$A32,'Gate Checklist'!$B$5:$B$204,1,'Gate Checklist'!$D$5:$D$204,"Pass")&gt;0),IF($P32="Ready for mapping","READY FOR MAPPING",IF($P32="Ready with remediation","READY WITH REMEDIATION",IF($P32="Deferred","DEFERRED","DISPOSITION REQUIRED"))),IF(COUNTIFS('Gate Checklist'!$A$5:$A$204,$A32,'Gate Checklist'!$B$5:$B$204,0,'Gate Checklist'!$D$5:$D$204,"Pass")+COUNTIFS('Gate Checklist'!$A$5:$A$204,$A32,'Gate Checklist'!$B$5:$B$204,1,'Gate Checklist'!$D$5:$D$204,"Pass")&gt;0,"IN PROGRESS","NOT ASSESSED"))))</x:f>
      </x:c>
      <x:c r="P32" s="82"/>
      <x:c r="Q32" s="82"/>
      <x:c r="R32" s="83"/>
      <x:c r="S32" s="82"/>
    </x:row>
    <x:row r="33">
      <x:c r="K33" s="82"/>
      <x:c r="L33" s="82"/>
      <x:c r="M33" s="82"/>
      <x:c r="N33" s="83" t="str">
        <x:f>IF($A33="","",IF(OR($K33="",$L33="",$M33="") ,"",SUM($K33:$L33)+6-$M33))</x:f>
      </x:c>
      <x:c r="O33" s="83" t="str">
        <x:f>IF($A33="","",IF(COUNTIFS('Gate Checklist'!$A$5:$A$204,$A33,'Gate Checklist'!$B$5:$B$204,0,'Gate Checklist'!$D$5:$D$204,"Fail")+COUNTIFS('Gate Checklist'!$A$5:$A$204,$A33,'Gate Checklist'!$B$5:$B$204,1,'Gate Checklist'!$D$5:$D$204,"Fail")&gt;0,"BLOCKED",IF(AND(COUNTIFS('Gate Checklist'!$A$5:$A$204,$A33,'Gate Checklist'!$B$5:$B$204,0,'Gate Checklist'!$D$5:$D$204,"Pass")&gt;0,COUNTIFS('Gate Checklist'!$A$5:$A$204,$A33,'Gate Checklist'!$B$5:$B$204,1,'Gate Checklist'!$D$5:$D$204,"Pass")&gt;0),IF($P33="Ready for mapping","READY FOR MAPPING",IF($P33="Ready with remediation","READY WITH REMEDIATION",IF($P33="Deferred","DEFERRED","DISPOSITION REQUIRED"))),IF(COUNTIFS('Gate Checklist'!$A$5:$A$204,$A33,'Gate Checklist'!$B$5:$B$204,0,'Gate Checklist'!$D$5:$D$204,"Pass")+COUNTIFS('Gate Checklist'!$A$5:$A$204,$A33,'Gate Checklist'!$B$5:$B$204,1,'Gate Checklist'!$D$5:$D$204,"Pass")&gt;0,"IN PROGRESS","NOT ASSESSED"))))</x:f>
      </x:c>
      <x:c r="P33" s="82"/>
      <x:c r="Q33" s="82"/>
      <x:c r="R33" s="83"/>
      <x:c r="S33" s="82"/>
    </x:row>
    <x:row r="34">
      <x:c r="K34" s="82"/>
      <x:c r="L34" s="82"/>
      <x:c r="M34" s="82"/>
      <x:c r="N34" s="83" t="str">
        <x:f>IF($A34="","",IF(OR($K34="",$L34="",$M34="") ,"",SUM($K34:$L34)+6-$M34))</x:f>
      </x:c>
      <x:c r="O34" s="83" t="str">
        <x:f>IF($A34="","",IF(COUNTIFS('Gate Checklist'!$A$5:$A$204,$A34,'Gate Checklist'!$B$5:$B$204,0,'Gate Checklist'!$D$5:$D$204,"Fail")+COUNTIFS('Gate Checklist'!$A$5:$A$204,$A34,'Gate Checklist'!$B$5:$B$204,1,'Gate Checklist'!$D$5:$D$204,"Fail")&gt;0,"BLOCKED",IF(AND(COUNTIFS('Gate Checklist'!$A$5:$A$204,$A34,'Gate Checklist'!$B$5:$B$204,0,'Gate Checklist'!$D$5:$D$204,"Pass")&gt;0,COUNTIFS('Gate Checklist'!$A$5:$A$204,$A34,'Gate Checklist'!$B$5:$B$204,1,'Gate Checklist'!$D$5:$D$204,"Pass")&gt;0),IF($P34="Ready for mapping","READY FOR MAPPING",IF($P34="Ready with remediation","READY WITH REMEDIATION",IF($P34="Deferred","DEFERRED","DISPOSITION REQUIRED"))),IF(COUNTIFS('Gate Checklist'!$A$5:$A$204,$A34,'Gate Checklist'!$B$5:$B$204,0,'Gate Checklist'!$D$5:$D$204,"Pass")+COUNTIFS('Gate Checklist'!$A$5:$A$204,$A34,'Gate Checklist'!$B$5:$B$204,1,'Gate Checklist'!$D$5:$D$204,"Pass")&gt;0,"IN PROGRESS","NOT ASSESSED"))))</x:f>
      </x:c>
      <x:c r="P34" s="82"/>
      <x:c r="Q34" s="82"/>
      <x:c r="R34" s="83"/>
      <x:c r="S34" s="82"/>
    </x:row>
    <x:row r="35">
      <x:c r="K35" s="82"/>
      <x:c r="L35" s="82"/>
      <x:c r="M35" s="82"/>
      <x:c r="N35" s="83" t="str">
        <x:f>IF($A35="","",IF(OR($K35="",$L35="",$M35="") ,"",SUM($K35:$L35)+6-$M35))</x:f>
      </x:c>
      <x:c r="O35" s="83" t="str">
        <x:f>IF($A35="","",IF(COUNTIFS('Gate Checklist'!$A$5:$A$204,$A35,'Gate Checklist'!$B$5:$B$204,0,'Gate Checklist'!$D$5:$D$204,"Fail")+COUNTIFS('Gate Checklist'!$A$5:$A$204,$A35,'Gate Checklist'!$B$5:$B$204,1,'Gate Checklist'!$D$5:$D$204,"Fail")&gt;0,"BLOCKED",IF(AND(COUNTIFS('Gate Checklist'!$A$5:$A$204,$A35,'Gate Checklist'!$B$5:$B$204,0,'Gate Checklist'!$D$5:$D$204,"Pass")&gt;0,COUNTIFS('Gate Checklist'!$A$5:$A$204,$A35,'Gate Checklist'!$B$5:$B$204,1,'Gate Checklist'!$D$5:$D$204,"Pass")&gt;0),IF($P35="Ready for mapping","READY FOR MAPPING",IF($P35="Ready with remediation","READY WITH REMEDIATION",IF($P35="Deferred","DEFERRED","DISPOSITION REQUIRED"))),IF(COUNTIFS('Gate Checklist'!$A$5:$A$204,$A35,'Gate Checklist'!$B$5:$B$204,0,'Gate Checklist'!$D$5:$D$204,"Pass")+COUNTIFS('Gate Checklist'!$A$5:$A$204,$A35,'Gate Checklist'!$B$5:$B$204,1,'Gate Checklist'!$D$5:$D$204,"Pass")&gt;0,"IN PROGRESS","NOT ASSESSED"))))</x:f>
      </x:c>
      <x:c r="P35" s="82"/>
      <x:c r="Q35" s="82"/>
      <x:c r="R35" s="83"/>
      <x:c r="S35" s="82"/>
    </x:row>
    <x:row r="36">
      <x:c r="K36" s="82"/>
      <x:c r="L36" s="82"/>
      <x:c r="M36" s="82"/>
      <x:c r="N36" s="83" t="str">
        <x:f>IF($A36="","",IF(OR($K36="",$L36="",$M36="") ,"",SUM($K36:$L36)+6-$M36))</x:f>
      </x:c>
      <x:c r="O36" s="83" t="str">
        <x:f>IF($A36="","",IF(COUNTIFS('Gate Checklist'!$A$5:$A$204,$A36,'Gate Checklist'!$B$5:$B$204,0,'Gate Checklist'!$D$5:$D$204,"Fail")+COUNTIFS('Gate Checklist'!$A$5:$A$204,$A36,'Gate Checklist'!$B$5:$B$204,1,'Gate Checklist'!$D$5:$D$204,"Fail")&gt;0,"BLOCKED",IF(AND(COUNTIFS('Gate Checklist'!$A$5:$A$204,$A36,'Gate Checklist'!$B$5:$B$204,0,'Gate Checklist'!$D$5:$D$204,"Pass")&gt;0,COUNTIFS('Gate Checklist'!$A$5:$A$204,$A36,'Gate Checklist'!$B$5:$B$204,1,'Gate Checklist'!$D$5:$D$204,"Pass")&gt;0),IF($P36="Ready for mapping","READY FOR MAPPING",IF($P36="Ready with remediation","READY WITH REMEDIATION",IF($P36="Deferred","DEFERRED","DISPOSITION REQUIRED"))),IF(COUNTIFS('Gate Checklist'!$A$5:$A$204,$A36,'Gate Checklist'!$B$5:$B$204,0,'Gate Checklist'!$D$5:$D$204,"Pass")+COUNTIFS('Gate Checklist'!$A$5:$A$204,$A36,'Gate Checklist'!$B$5:$B$204,1,'Gate Checklist'!$D$5:$D$204,"Pass")&gt;0,"IN PROGRESS","NOT ASSESSED"))))</x:f>
      </x:c>
      <x:c r="P36" s="82"/>
      <x:c r="Q36" s="82"/>
      <x:c r="R36" s="83"/>
      <x:c r="S36" s="82"/>
    </x:row>
    <x:row r="37">
      <x:c r="K37" s="82"/>
      <x:c r="L37" s="82"/>
      <x:c r="M37" s="82"/>
      <x:c r="N37" s="83" t="str">
        <x:f>IF($A37="","",IF(OR($K37="",$L37="",$M37="") ,"",SUM($K37:$L37)+6-$M37))</x:f>
      </x:c>
      <x:c r="O37" s="83" t="str">
        <x:f>IF($A37="","",IF(COUNTIFS('Gate Checklist'!$A$5:$A$204,$A37,'Gate Checklist'!$B$5:$B$204,0,'Gate Checklist'!$D$5:$D$204,"Fail")+COUNTIFS('Gate Checklist'!$A$5:$A$204,$A37,'Gate Checklist'!$B$5:$B$204,1,'Gate Checklist'!$D$5:$D$204,"Fail")&gt;0,"BLOCKED",IF(AND(COUNTIFS('Gate Checklist'!$A$5:$A$204,$A37,'Gate Checklist'!$B$5:$B$204,0,'Gate Checklist'!$D$5:$D$204,"Pass")&gt;0,COUNTIFS('Gate Checklist'!$A$5:$A$204,$A37,'Gate Checklist'!$B$5:$B$204,1,'Gate Checklist'!$D$5:$D$204,"Pass")&gt;0),IF($P37="Ready for mapping","READY FOR MAPPING",IF($P37="Ready with remediation","READY WITH REMEDIATION",IF($P37="Deferred","DEFERRED","DISPOSITION REQUIRED"))),IF(COUNTIFS('Gate Checklist'!$A$5:$A$204,$A37,'Gate Checklist'!$B$5:$B$204,0,'Gate Checklist'!$D$5:$D$204,"Pass")+COUNTIFS('Gate Checklist'!$A$5:$A$204,$A37,'Gate Checklist'!$B$5:$B$204,1,'Gate Checklist'!$D$5:$D$204,"Pass")&gt;0,"IN PROGRESS","NOT ASSESSED"))))</x:f>
      </x:c>
      <x:c r="P37" s="82"/>
      <x:c r="Q37" s="82"/>
      <x:c r="R37" s="83"/>
      <x:c r="S37" s="82"/>
    </x:row>
    <x:row r="38">
      <x:c r="K38" s="82"/>
      <x:c r="L38" s="82"/>
      <x:c r="M38" s="82"/>
      <x:c r="N38" s="83" t="str">
        <x:f>IF($A38="","",IF(OR($K38="",$L38="",$M38="") ,"",SUM($K38:$L38)+6-$M38))</x:f>
      </x:c>
      <x:c r="O38" s="83" t="str">
        <x:f>IF($A38="","",IF(COUNTIFS('Gate Checklist'!$A$5:$A$204,$A38,'Gate Checklist'!$B$5:$B$204,0,'Gate Checklist'!$D$5:$D$204,"Fail")+COUNTIFS('Gate Checklist'!$A$5:$A$204,$A38,'Gate Checklist'!$B$5:$B$204,1,'Gate Checklist'!$D$5:$D$204,"Fail")&gt;0,"BLOCKED",IF(AND(COUNTIFS('Gate Checklist'!$A$5:$A$204,$A38,'Gate Checklist'!$B$5:$B$204,0,'Gate Checklist'!$D$5:$D$204,"Pass")&gt;0,COUNTIFS('Gate Checklist'!$A$5:$A$204,$A38,'Gate Checklist'!$B$5:$B$204,1,'Gate Checklist'!$D$5:$D$204,"Pass")&gt;0),IF($P38="Ready for mapping","READY FOR MAPPING",IF($P38="Ready with remediation","READY WITH REMEDIATION",IF($P38="Deferred","DEFERRED","DISPOSITION REQUIRED"))),IF(COUNTIFS('Gate Checklist'!$A$5:$A$204,$A38,'Gate Checklist'!$B$5:$B$204,0,'Gate Checklist'!$D$5:$D$204,"Pass")+COUNTIFS('Gate Checklist'!$A$5:$A$204,$A38,'Gate Checklist'!$B$5:$B$204,1,'Gate Checklist'!$D$5:$D$204,"Pass")&gt;0,"IN PROGRESS","NOT ASSESSED"))))</x:f>
      </x:c>
      <x:c r="P38" s="82"/>
      <x:c r="Q38" s="82"/>
      <x:c r="R38" s="83"/>
      <x:c r="S38" s="82"/>
    </x:row>
    <x:row r="39">
      <x:c r="K39" s="82"/>
      <x:c r="L39" s="82"/>
      <x:c r="M39" s="82"/>
      <x:c r="N39" s="83" t="str">
        <x:f>IF($A39="","",IF(OR($K39="",$L39="",$M39="") ,"",SUM($K39:$L39)+6-$M39))</x:f>
      </x:c>
      <x:c r="O39" s="83" t="str">
        <x:f>IF($A39="","",IF(COUNTIFS('Gate Checklist'!$A$5:$A$204,$A39,'Gate Checklist'!$B$5:$B$204,0,'Gate Checklist'!$D$5:$D$204,"Fail")+COUNTIFS('Gate Checklist'!$A$5:$A$204,$A39,'Gate Checklist'!$B$5:$B$204,1,'Gate Checklist'!$D$5:$D$204,"Fail")&gt;0,"BLOCKED",IF(AND(COUNTIFS('Gate Checklist'!$A$5:$A$204,$A39,'Gate Checklist'!$B$5:$B$204,0,'Gate Checklist'!$D$5:$D$204,"Pass")&gt;0,COUNTIFS('Gate Checklist'!$A$5:$A$204,$A39,'Gate Checklist'!$B$5:$B$204,1,'Gate Checklist'!$D$5:$D$204,"Pass")&gt;0),IF($P39="Ready for mapping","READY FOR MAPPING",IF($P39="Ready with remediation","READY WITH REMEDIATION",IF($P39="Deferred","DEFERRED","DISPOSITION REQUIRED"))),IF(COUNTIFS('Gate Checklist'!$A$5:$A$204,$A39,'Gate Checklist'!$B$5:$B$204,0,'Gate Checklist'!$D$5:$D$204,"Pass")+COUNTIFS('Gate Checklist'!$A$5:$A$204,$A39,'Gate Checklist'!$B$5:$B$204,1,'Gate Checklist'!$D$5:$D$204,"Pass")&gt;0,"IN PROGRESS","NOT ASSESSED"))))</x:f>
      </x:c>
      <x:c r="P39" s="82"/>
      <x:c r="Q39" s="82"/>
      <x:c r="R39" s="83"/>
      <x:c r="S39" s="82"/>
    </x:row>
    <x:row r="40">
      <x:c r="K40" s="82"/>
      <x:c r="L40" s="82"/>
      <x:c r="M40" s="82"/>
      <x:c r="N40" s="83" t="str">
        <x:f>IF($A40="","",IF(OR($K40="",$L40="",$M40="") ,"",SUM($K40:$L40)+6-$M40))</x:f>
      </x:c>
      <x:c r="O40" s="83" t="str">
        <x:f>IF($A40="","",IF(COUNTIFS('Gate Checklist'!$A$5:$A$204,$A40,'Gate Checklist'!$B$5:$B$204,0,'Gate Checklist'!$D$5:$D$204,"Fail")+COUNTIFS('Gate Checklist'!$A$5:$A$204,$A40,'Gate Checklist'!$B$5:$B$204,1,'Gate Checklist'!$D$5:$D$204,"Fail")&gt;0,"BLOCKED",IF(AND(COUNTIFS('Gate Checklist'!$A$5:$A$204,$A40,'Gate Checklist'!$B$5:$B$204,0,'Gate Checklist'!$D$5:$D$204,"Pass")&gt;0,COUNTIFS('Gate Checklist'!$A$5:$A$204,$A40,'Gate Checklist'!$B$5:$B$204,1,'Gate Checklist'!$D$5:$D$204,"Pass")&gt;0),IF($P40="Ready for mapping","READY FOR MAPPING",IF($P40="Ready with remediation","READY WITH REMEDIATION",IF($P40="Deferred","DEFERRED","DISPOSITION REQUIRED"))),IF(COUNTIFS('Gate Checklist'!$A$5:$A$204,$A40,'Gate Checklist'!$B$5:$B$204,0,'Gate Checklist'!$D$5:$D$204,"Pass")+COUNTIFS('Gate Checklist'!$A$5:$A$204,$A40,'Gate Checklist'!$B$5:$B$204,1,'Gate Checklist'!$D$5:$D$204,"Pass")&gt;0,"IN PROGRESS","NOT ASSESSED"))))</x:f>
      </x:c>
      <x:c r="P40" s="82"/>
      <x:c r="Q40" s="82"/>
      <x:c r="R40" s="83"/>
      <x:c r="S40" s="82"/>
    </x:row>
    <x:row r="41">
      <x:c r="K41" s="82"/>
      <x:c r="L41" s="82"/>
      <x:c r="M41" s="82"/>
      <x:c r="N41" s="83" t="str">
        <x:f>IF($A41="","",IF(OR($K41="",$L41="",$M41="") ,"",SUM($K41:$L41)+6-$M41))</x:f>
      </x:c>
      <x:c r="O41" s="83" t="str">
        <x:f>IF($A41="","",IF(COUNTIFS('Gate Checklist'!$A$5:$A$204,$A41,'Gate Checklist'!$B$5:$B$204,0,'Gate Checklist'!$D$5:$D$204,"Fail")+COUNTIFS('Gate Checklist'!$A$5:$A$204,$A41,'Gate Checklist'!$B$5:$B$204,1,'Gate Checklist'!$D$5:$D$204,"Fail")&gt;0,"BLOCKED",IF(AND(COUNTIFS('Gate Checklist'!$A$5:$A$204,$A41,'Gate Checklist'!$B$5:$B$204,0,'Gate Checklist'!$D$5:$D$204,"Pass")&gt;0,COUNTIFS('Gate Checklist'!$A$5:$A$204,$A41,'Gate Checklist'!$B$5:$B$204,1,'Gate Checklist'!$D$5:$D$204,"Pass")&gt;0),IF($P41="Ready for mapping","READY FOR MAPPING",IF($P41="Ready with remediation","READY WITH REMEDIATION",IF($P41="Deferred","DEFERRED","DISPOSITION REQUIRED"))),IF(COUNTIFS('Gate Checklist'!$A$5:$A$204,$A41,'Gate Checklist'!$B$5:$B$204,0,'Gate Checklist'!$D$5:$D$204,"Pass")+COUNTIFS('Gate Checklist'!$A$5:$A$204,$A41,'Gate Checklist'!$B$5:$B$204,1,'Gate Checklist'!$D$5:$D$204,"Pass")&gt;0,"IN PROGRESS","NOT ASSESSED"))))</x:f>
      </x:c>
      <x:c r="P41" s="82"/>
      <x:c r="Q41" s="82"/>
      <x:c r="R41" s="83"/>
      <x:c r="S41" s="82"/>
    </x:row>
    <x:row r="42">
      <x:c r="K42" s="82"/>
      <x:c r="L42" s="82"/>
      <x:c r="M42" s="82"/>
      <x:c r="N42" s="83" t="str">
        <x:f>IF($A42="","",IF(OR($K42="",$L42="",$M42="") ,"",SUM($K42:$L42)+6-$M42))</x:f>
      </x:c>
      <x:c r="O42" s="83" t="str">
        <x:f>IF($A42="","",IF(COUNTIFS('Gate Checklist'!$A$5:$A$204,$A42,'Gate Checklist'!$B$5:$B$204,0,'Gate Checklist'!$D$5:$D$204,"Fail")+COUNTIFS('Gate Checklist'!$A$5:$A$204,$A42,'Gate Checklist'!$B$5:$B$204,1,'Gate Checklist'!$D$5:$D$204,"Fail")&gt;0,"BLOCKED",IF(AND(COUNTIFS('Gate Checklist'!$A$5:$A$204,$A42,'Gate Checklist'!$B$5:$B$204,0,'Gate Checklist'!$D$5:$D$204,"Pass")&gt;0,COUNTIFS('Gate Checklist'!$A$5:$A$204,$A42,'Gate Checklist'!$B$5:$B$204,1,'Gate Checklist'!$D$5:$D$204,"Pass")&gt;0),IF($P42="Ready for mapping","READY FOR MAPPING",IF($P42="Ready with remediation","READY WITH REMEDIATION",IF($P42="Deferred","DEFERRED","DISPOSITION REQUIRED"))),IF(COUNTIFS('Gate Checklist'!$A$5:$A$204,$A42,'Gate Checklist'!$B$5:$B$204,0,'Gate Checklist'!$D$5:$D$204,"Pass")+COUNTIFS('Gate Checklist'!$A$5:$A$204,$A42,'Gate Checklist'!$B$5:$B$204,1,'Gate Checklist'!$D$5:$D$204,"Pass")&gt;0,"IN PROGRESS","NOT ASSESSED"))))</x:f>
      </x:c>
      <x:c r="P42" s="82"/>
      <x:c r="Q42" s="82"/>
      <x:c r="R42" s="83"/>
      <x:c r="S42" s="82"/>
    </x:row>
    <x:row r="43">
      <x:c r="K43" s="82"/>
      <x:c r="L43" s="82"/>
      <x:c r="M43" s="82"/>
      <x:c r="N43" s="83" t="str">
        <x:f>IF($A43="","",IF(OR($K43="",$L43="",$M43="") ,"",SUM($K43:$L43)+6-$M43))</x:f>
      </x:c>
      <x:c r="O43" s="83" t="str">
        <x:f>IF($A43="","",IF(COUNTIFS('Gate Checklist'!$A$5:$A$204,$A43,'Gate Checklist'!$B$5:$B$204,0,'Gate Checklist'!$D$5:$D$204,"Fail")+COUNTIFS('Gate Checklist'!$A$5:$A$204,$A43,'Gate Checklist'!$B$5:$B$204,1,'Gate Checklist'!$D$5:$D$204,"Fail")&gt;0,"BLOCKED",IF(AND(COUNTIFS('Gate Checklist'!$A$5:$A$204,$A43,'Gate Checklist'!$B$5:$B$204,0,'Gate Checklist'!$D$5:$D$204,"Pass")&gt;0,COUNTIFS('Gate Checklist'!$A$5:$A$204,$A43,'Gate Checklist'!$B$5:$B$204,1,'Gate Checklist'!$D$5:$D$204,"Pass")&gt;0),IF($P43="Ready for mapping","READY FOR MAPPING",IF($P43="Ready with remediation","READY WITH REMEDIATION",IF($P43="Deferred","DEFERRED","DISPOSITION REQUIRED"))),IF(COUNTIFS('Gate Checklist'!$A$5:$A$204,$A43,'Gate Checklist'!$B$5:$B$204,0,'Gate Checklist'!$D$5:$D$204,"Pass")+COUNTIFS('Gate Checklist'!$A$5:$A$204,$A43,'Gate Checklist'!$B$5:$B$204,1,'Gate Checklist'!$D$5:$D$204,"Pass")&gt;0,"IN PROGRESS","NOT ASSESSED"))))</x:f>
      </x:c>
      <x:c r="P43" s="82"/>
      <x:c r="Q43" s="82"/>
      <x:c r="R43" s="83"/>
      <x:c r="S43" s="82"/>
    </x:row>
    <x:row r="44">
      <x:c r="K44" s="82"/>
      <x:c r="L44" s="82"/>
      <x:c r="M44" s="82"/>
      <x:c r="N44" s="83" t="str">
        <x:f>IF($A44="","",IF(OR($K44="",$L44="",$M44="") ,"",SUM($K44:$L44)+6-$M44))</x:f>
      </x:c>
      <x:c r="O44" s="83" t="str">
        <x:f>IF($A44="","",IF(COUNTIFS('Gate Checklist'!$A$5:$A$204,$A44,'Gate Checklist'!$B$5:$B$204,0,'Gate Checklist'!$D$5:$D$204,"Fail")+COUNTIFS('Gate Checklist'!$A$5:$A$204,$A44,'Gate Checklist'!$B$5:$B$204,1,'Gate Checklist'!$D$5:$D$204,"Fail")&gt;0,"BLOCKED",IF(AND(COUNTIFS('Gate Checklist'!$A$5:$A$204,$A44,'Gate Checklist'!$B$5:$B$204,0,'Gate Checklist'!$D$5:$D$204,"Pass")&gt;0,COUNTIFS('Gate Checklist'!$A$5:$A$204,$A44,'Gate Checklist'!$B$5:$B$204,1,'Gate Checklist'!$D$5:$D$204,"Pass")&gt;0),IF($P44="Ready for mapping","READY FOR MAPPING",IF($P44="Ready with remediation","READY WITH REMEDIATION",IF($P44="Deferred","DEFERRED","DISPOSITION REQUIRED"))),IF(COUNTIFS('Gate Checklist'!$A$5:$A$204,$A44,'Gate Checklist'!$B$5:$B$204,0,'Gate Checklist'!$D$5:$D$204,"Pass")+COUNTIFS('Gate Checklist'!$A$5:$A$204,$A44,'Gate Checklist'!$B$5:$B$204,1,'Gate Checklist'!$D$5:$D$204,"Pass")&gt;0,"IN PROGRESS","NOT ASSESSED"))))</x:f>
      </x:c>
      <x:c r="P44" s="82"/>
      <x:c r="Q44" s="82"/>
      <x:c r="R44" s="83"/>
      <x:c r="S44" s="82"/>
    </x:row>
    <x:row r="45">
      <x:c r="K45" s="82"/>
      <x:c r="L45" s="82"/>
      <x:c r="M45" s="82"/>
      <x:c r="N45" s="83" t="str">
        <x:f>IF($A45="","",IF(OR($K45="",$L45="",$M45="") ,"",SUM($K45:$L45)+6-$M45))</x:f>
      </x:c>
      <x:c r="O45" s="83" t="str">
        <x:f>IF($A45="","",IF(COUNTIFS('Gate Checklist'!$A$5:$A$204,$A45,'Gate Checklist'!$B$5:$B$204,0,'Gate Checklist'!$D$5:$D$204,"Fail")+COUNTIFS('Gate Checklist'!$A$5:$A$204,$A45,'Gate Checklist'!$B$5:$B$204,1,'Gate Checklist'!$D$5:$D$204,"Fail")&gt;0,"BLOCKED",IF(AND(COUNTIFS('Gate Checklist'!$A$5:$A$204,$A45,'Gate Checklist'!$B$5:$B$204,0,'Gate Checklist'!$D$5:$D$204,"Pass")&gt;0,COUNTIFS('Gate Checklist'!$A$5:$A$204,$A45,'Gate Checklist'!$B$5:$B$204,1,'Gate Checklist'!$D$5:$D$204,"Pass")&gt;0),IF($P45="Ready for mapping","READY FOR MAPPING",IF($P45="Ready with remediation","READY WITH REMEDIATION",IF($P45="Deferred","DEFERRED","DISPOSITION REQUIRED"))),IF(COUNTIFS('Gate Checklist'!$A$5:$A$204,$A45,'Gate Checklist'!$B$5:$B$204,0,'Gate Checklist'!$D$5:$D$204,"Pass")+COUNTIFS('Gate Checklist'!$A$5:$A$204,$A45,'Gate Checklist'!$B$5:$B$204,1,'Gate Checklist'!$D$5:$D$204,"Pass")&gt;0,"IN PROGRESS","NOT ASSESSED"))))</x:f>
      </x:c>
      <x:c r="P45" s="82"/>
      <x:c r="Q45" s="82"/>
      <x:c r="R45" s="83"/>
      <x:c r="S45" s="82"/>
    </x:row>
    <x:row r="46">
      <x:c r="K46" s="82"/>
      <x:c r="L46" s="82"/>
      <x:c r="M46" s="82"/>
      <x:c r="N46" s="83" t="str">
        <x:f>IF($A46="","",IF(OR($K46="",$L46="",$M46="") ,"",SUM($K46:$L46)+6-$M46))</x:f>
      </x:c>
      <x:c r="O46" s="83" t="str">
        <x:f>IF($A46="","",IF(COUNTIFS('Gate Checklist'!$A$5:$A$204,$A46,'Gate Checklist'!$B$5:$B$204,0,'Gate Checklist'!$D$5:$D$204,"Fail")+COUNTIFS('Gate Checklist'!$A$5:$A$204,$A46,'Gate Checklist'!$B$5:$B$204,1,'Gate Checklist'!$D$5:$D$204,"Fail")&gt;0,"BLOCKED",IF(AND(COUNTIFS('Gate Checklist'!$A$5:$A$204,$A46,'Gate Checklist'!$B$5:$B$204,0,'Gate Checklist'!$D$5:$D$204,"Pass")&gt;0,COUNTIFS('Gate Checklist'!$A$5:$A$204,$A46,'Gate Checklist'!$B$5:$B$204,1,'Gate Checklist'!$D$5:$D$204,"Pass")&gt;0),IF($P46="Ready for mapping","READY FOR MAPPING",IF($P46="Ready with remediation","READY WITH REMEDIATION",IF($P46="Deferred","DEFERRED","DISPOSITION REQUIRED"))),IF(COUNTIFS('Gate Checklist'!$A$5:$A$204,$A46,'Gate Checklist'!$B$5:$B$204,0,'Gate Checklist'!$D$5:$D$204,"Pass")+COUNTIFS('Gate Checklist'!$A$5:$A$204,$A46,'Gate Checklist'!$B$5:$B$204,1,'Gate Checklist'!$D$5:$D$204,"Pass")&gt;0,"IN PROGRESS","NOT ASSESSED"))))</x:f>
      </x:c>
      <x:c r="P46" s="82"/>
      <x:c r="Q46" s="82"/>
      <x:c r="R46" s="83"/>
      <x:c r="S46" s="82"/>
    </x:row>
    <x:row r="47">
      <x:c r="K47" s="82"/>
      <x:c r="L47" s="82"/>
      <x:c r="M47" s="82"/>
      <x:c r="N47" s="83" t="str">
        <x:f>IF($A47="","",IF(OR($K47="",$L47="",$M47="") ,"",SUM($K47:$L47)+6-$M47))</x:f>
      </x:c>
      <x:c r="O47" s="83" t="str">
        <x:f>IF($A47="","",IF(COUNTIFS('Gate Checklist'!$A$5:$A$204,$A47,'Gate Checklist'!$B$5:$B$204,0,'Gate Checklist'!$D$5:$D$204,"Fail")+COUNTIFS('Gate Checklist'!$A$5:$A$204,$A47,'Gate Checklist'!$B$5:$B$204,1,'Gate Checklist'!$D$5:$D$204,"Fail")&gt;0,"BLOCKED",IF(AND(COUNTIFS('Gate Checklist'!$A$5:$A$204,$A47,'Gate Checklist'!$B$5:$B$204,0,'Gate Checklist'!$D$5:$D$204,"Pass")&gt;0,COUNTIFS('Gate Checklist'!$A$5:$A$204,$A47,'Gate Checklist'!$B$5:$B$204,1,'Gate Checklist'!$D$5:$D$204,"Pass")&gt;0),IF($P47="Ready for mapping","READY FOR MAPPING",IF($P47="Ready with remediation","READY WITH REMEDIATION",IF($P47="Deferred","DEFERRED","DISPOSITION REQUIRED"))),IF(COUNTIFS('Gate Checklist'!$A$5:$A$204,$A47,'Gate Checklist'!$B$5:$B$204,0,'Gate Checklist'!$D$5:$D$204,"Pass")+COUNTIFS('Gate Checklist'!$A$5:$A$204,$A47,'Gate Checklist'!$B$5:$B$204,1,'Gate Checklist'!$D$5:$D$204,"Pass")&gt;0,"IN PROGRESS","NOT ASSESSED"))))</x:f>
      </x:c>
      <x:c r="P47" s="82"/>
      <x:c r="Q47" s="82"/>
      <x:c r="R47" s="83"/>
      <x:c r="S47" s="82"/>
    </x:row>
    <x:row r="48">
      <x:c r="K48" s="82"/>
      <x:c r="L48" s="82"/>
      <x:c r="M48" s="82"/>
      <x:c r="N48" s="83" t="str">
        <x:f>IF($A48="","",IF(OR($K48="",$L48="",$M48="") ,"",SUM($K48:$L48)+6-$M48))</x:f>
      </x:c>
      <x:c r="O48" s="83" t="str">
        <x:f>IF($A48="","",IF(COUNTIFS('Gate Checklist'!$A$5:$A$204,$A48,'Gate Checklist'!$B$5:$B$204,0,'Gate Checklist'!$D$5:$D$204,"Fail")+COUNTIFS('Gate Checklist'!$A$5:$A$204,$A48,'Gate Checklist'!$B$5:$B$204,1,'Gate Checklist'!$D$5:$D$204,"Fail")&gt;0,"BLOCKED",IF(AND(COUNTIFS('Gate Checklist'!$A$5:$A$204,$A48,'Gate Checklist'!$B$5:$B$204,0,'Gate Checklist'!$D$5:$D$204,"Pass")&gt;0,COUNTIFS('Gate Checklist'!$A$5:$A$204,$A48,'Gate Checklist'!$B$5:$B$204,1,'Gate Checklist'!$D$5:$D$204,"Pass")&gt;0),IF($P48="Ready for mapping","READY FOR MAPPING",IF($P48="Ready with remediation","READY WITH REMEDIATION",IF($P48="Deferred","DEFERRED","DISPOSITION REQUIRED"))),IF(COUNTIFS('Gate Checklist'!$A$5:$A$204,$A48,'Gate Checklist'!$B$5:$B$204,0,'Gate Checklist'!$D$5:$D$204,"Pass")+COUNTIFS('Gate Checklist'!$A$5:$A$204,$A48,'Gate Checklist'!$B$5:$B$204,1,'Gate Checklist'!$D$5:$D$204,"Pass")&gt;0,"IN PROGRESS","NOT ASSESSED"))))</x:f>
      </x:c>
      <x:c r="P48" s="82"/>
      <x:c r="Q48" s="82"/>
      <x:c r="R48" s="83"/>
      <x:c r="S48" s="82"/>
    </x:row>
    <x:row r="49">
      <x:c r="K49" s="82"/>
      <x:c r="L49" s="82"/>
      <x:c r="M49" s="82"/>
      <x:c r="N49" s="83" t="str">
        <x:f>IF($A49="","",IF(OR($K49="",$L49="",$M49="") ,"",SUM($K49:$L49)+6-$M49))</x:f>
      </x:c>
      <x:c r="O49" s="83" t="str">
        <x:f>IF($A49="","",IF(COUNTIFS('Gate Checklist'!$A$5:$A$204,$A49,'Gate Checklist'!$B$5:$B$204,0,'Gate Checklist'!$D$5:$D$204,"Fail")+COUNTIFS('Gate Checklist'!$A$5:$A$204,$A49,'Gate Checklist'!$B$5:$B$204,1,'Gate Checklist'!$D$5:$D$204,"Fail")&gt;0,"BLOCKED",IF(AND(COUNTIFS('Gate Checklist'!$A$5:$A$204,$A49,'Gate Checklist'!$B$5:$B$204,0,'Gate Checklist'!$D$5:$D$204,"Pass")&gt;0,COUNTIFS('Gate Checklist'!$A$5:$A$204,$A49,'Gate Checklist'!$B$5:$B$204,1,'Gate Checklist'!$D$5:$D$204,"Pass")&gt;0),IF($P49="Ready for mapping","READY FOR MAPPING",IF($P49="Ready with remediation","READY WITH REMEDIATION",IF($P49="Deferred","DEFERRED","DISPOSITION REQUIRED"))),IF(COUNTIFS('Gate Checklist'!$A$5:$A$204,$A49,'Gate Checklist'!$B$5:$B$204,0,'Gate Checklist'!$D$5:$D$204,"Pass")+COUNTIFS('Gate Checklist'!$A$5:$A$204,$A49,'Gate Checklist'!$B$5:$B$204,1,'Gate Checklist'!$D$5:$D$204,"Pass")&gt;0,"IN PROGRESS","NOT ASSESSED"))))</x:f>
      </x:c>
      <x:c r="P49" s="82"/>
      <x:c r="Q49" s="82"/>
      <x:c r="R49" s="83"/>
      <x:c r="S49" s="82"/>
    </x:row>
    <x:row r="50">
      <x:c r="K50" s="82"/>
      <x:c r="L50" s="82"/>
      <x:c r="M50" s="82"/>
      <x:c r="N50" s="83" t="str">
        <x:f>IF($A50="","",IF(OR($K50="",$L50="",$M50="") ,"",SUM($K50:$L50)+6-$M50))</x:f>
      </x:c>
      <x:c r="O50" s="83" t="str">
        <x:f>IF($A50="","",IF(COUNTIFS('Gate Checklist'!$A$5:$A$204,$A50,'Gate Checklist'!$B$5:$B$204,0,'Gate Checklist'!$D$5:$D$204,"Fail")+COUNTIFS('Gate Checklist'!$A$5:$A$204,$A50,'Gate Checklist'!$B$5:$B$204,1,'Gate Checklist'!$D$5:$D$204,"Fail")&gt;0,"BLOCKED",IF(AND(COUNTIFS('Gate Checklist'!$A$5:$A$204,$A50,'Gate Checklist'!$B$5:$B$204,0,'Gate Checklist'!$D$5:$D$204,"Pass")&gt;0,COUNTIFS('Gate Checklist'!$A$5:$A$204,$A50,'Gate Checklist'!$B$5:$B$204,1,'Gate Checklist'!$D$5:$D$204,"Pass")&gt;0),IF($P50="Ready for mapping","READY FOR MAPPING",IF($P50="Ready with remediation","READY WITH REMEDIATION",IF($P50="Deferred","DEFERRED","DISPOSITION REQUIRED"))),IF(COUNTIFS('Gate Checklist'!$A$5:$A$204,$A50,'Gate Checklist'!$B$5:$B$204,0,'Gate Checklist'!$D$5:$D$204,"Pass")+COUNTIFS('Gate Checklist'!$A$5:$A$204,$A50,'Gate Checklist'!$B$5:$B$204,1,'Gate Checklist'!$D$5:$D$204,"Pass")&gt;0,"IN PROGRESS","NOT ASSESSED"))))</x:f>
      </x:c>
      <x:c r="P50" s="82"/>
      <x:c r="Q50" s="82"/>
      <x:c r="R50" s="83"/>
      <x:c r="S50" s="82"/>
    </x:row>
    <x:row r="51">
      <x:c r="K51" s="82"/>
      <x:c r="L51" s="82"/>
      <x:c r="M51" s="82"/>
      <x:c r="N51" s="83" t="str">
        <x:f>IF($A51="","",IF(OR($K51="",$L51="",$M51="") ,"",SUM($K51:$L51)+6-$M51))</x:f>
      </x:c>
      <x:c r="O51" s="83" t="str">
        <x:f>IF($A51="","",IF(COUNTIFS('Gate Checklist'!$A$5:$A$204,$A51,'Gate Checklist'!$B$5:$B$204,0,'Gate Checklist'!$D$5:$D$204,"Fail")+COUNTIFS('Gate Checklist'!$A$5:$A$204,$A51,'Gate Checklist'!$B$5:$B$204,1,'Gate Checklist'!$D$5:$D$204,"Fail")&gt;0,"BLOCKED",IF(AND(COUNTIFS('Gate Checklist'!$A$5:$A$204,$A51,'Gate Checklist'!$B$5:$B$204,0,'Gate Checklist'!$D$5:$D$204,"Pass")&gt;0,COUNTIFS('Gate Checklist'!$A$5:$A$204,$A51,'Gate Checklist'!$B$5:$B$204,1,'Gate Checklist'!$D$5:$D$204,"Pass")&gt;0),IF($P51="Ready for mapping","READY FOR MAPPING",IF($P51="Ready with remediation","READY WITH REMEDIATION",IF($P51="Deferred","DEFERRED","DISPOSITION REQUIRED"))),IF(COUNTIFS('Gate Checklist'!$A$5:$A$204,$A51,'Gate Checklist'!$B$5:$B$204,0,'Gate Checklist'!$D$5:$D$204,"Pass")+COUNTIFS('Gate Checklist'!$A$5:$A$204,$A51,'Gate Checklist'!$B$5:$B$204,1,'Gate Checklist'!$D$5:$D$204,"Pass")&gt;0,"IN PROGRESS","NOT ASSESSED"))))</x:f>
      </x:c>
      <x:c r="P51" s="82"/>
      <x:c r="Q51" s="82"/>
      <x:c r="R51" s="83"/>
      <x:c r="S51" s="82"/>
    </x:row>
    <x:row r="52">
      <x:c r="K52" s="82"/>
      <x:c r="L52" s="82"/>
      <x:c r="M52" s="82"/>
      <x:c r="N52" s="83" t="str">
        <x:f>IF($A52="","",IF(OR($K52="",$L52="",$M52="") ,"",SUM($K52:$L52)+6-$M52))</x:f>
      </x:c>
      <x:c r="O52" s="83" t="str">
        <x:f>IF($A52="","",IF(COUNTIFS('Gate Checklist'!$A$5:$A$204,$A52,'Gate Checklist'!$B$5:$B$204,0,'Gate Checklist'!$D$5:$D$204,"Fail")+COUNTIFS('Gate Checklist'!$A$5:$A$204,$A52,'Gate Checklist'!$B$5:$B$204,1,'Gate Checklist'!$D$5:$D$204,"Fail")&gt;0,"BLOCKED",IF(AND(COUNTIFS('Gate Checklist'!$A$5:$A$204,$A52,'Gate Checklist'!$B$5:$B$204,0,'Gate Checklist'!$D$5:$D$204,"Pass")&gt;0,COUNTIFS('Gate Checklist'!$A$5:$A$204,$A52,'Gate Checklist'!$B$5:$B$204,1,'Gate Checklist'!$D$5:$D$204,"Pass")&gt;0),IF($P52="Ready for mapping","READY FOR MAPPING",IF($P52="Ready with remediation","READY WITH REMEDIATION",IF($P52="Deferred","DEFERRED","DISPOSITION REQUIRED"))),IF(COUNTIFS('Gate Checklist'!$A$5:$A$204,$A52,'Gate Checklist'!$B$5:$B$204,0,'Gate Checklist'!$D$5:$D$204,"Pass")+COUNTIFS('Gate Checklist'!$A$5:$A$204,$A52,'Gate Checklist'!$B$5:$B$204,1,'Gate Checklist'!$D$5:$D$204,"Pass")&gt;0,"IN PROGRESS","NOT ASSESSED"))))</x:f>
      </x:c>
      <x:c r="P52" s="82"/>
      <x:c r="Q52" s="82"/>
      <x:c r="R52" s="83"/>
      <x:c r="S52" s="82"/>
    </x:row>
    <x:row r="53">
      <x:c r="K53" s="82"/>
      <x:c r="L53" s="82"/>
      <x:c r="M53" s="82"/>
      <x:c r="N53" s="83" t="str">
        <x:f>IF($A53="","",IF(OR($K53="",$L53="",$M53="") ,"",SUM($K53:$L53)+6-$M53))</x:f>
      </x:c>
      <x:c r="O53" s="83" t="str">
        <x:f>IF($A53="","",IF(COUNTIFS('Gate Checklist'!$A$5:$A$204,$A53,'Gate Checklist'!$B$5:$B$204,0,'Gate Checklist'!$D$5:$D$204,"Fail")+COUNTIFS('Gate Checklist'!$A$5:$A$204,$A53,'Gate Checklist'!$B$5:$B$204,1,'Gate Checklist'!$D$5:$D$204,"Fail")&gt;0,"BLOCKED",IF(AND(COUNTIFS('Gate Checklist'!$A$5:$A$204,$A53,'Gate Checklist'!$B$5:$B$204,0,'Gate Checklist'!$D$5:$D$204,"Pass")&gt;0,COUNTIFS('Gate Checklist'!$A$5:$A$204,$A53,'Gate Checklist'!$B$5:$B$204,1,'Gate Checklist'!$D$5:$D$204,"Pass")&gt;0),IF($P53="Ready for mapping","READY FOR MAPPING",IF($P53="Ready with remediation","READY WITH REMEDIATION",IF($P53="Deferred","DEFERRED","DISPOSITION REQUIRED"))),IF(COUNTIFS('Gate Checklist'!$A$5:$A$204,$A53,'Gate Checklist'!$B$5:$B$204,0,'Gate Checklist'!$D$5:$D$204,"Pass")+COUNTIFS('Gate Checklist'!$A$5:$A$204,$A53,'Gate Checklist'!$B$5:$B$204,1,'Gate Checklist'!$D$5:$D$204,"Pass")&gt;0,"IN PROGRESS","NOT ASSESSED"))))</x:f>
      </x:c>
      <x:c r="P53" s="82"/>
      <x:c r="Q53" s="82"/>
      <x:c r="R53" s="83"/>
      <x:c r="S53" s="82"/>
    </x:row>
    <x:row r="54">
      <x:c r="K54" s="82"/>
      <x:c r="L54" s="82"/>
      <x:c r="M54" s="82"/>
      <x:c r="N54" s="83" t="str">
        <x:f>IF($A54="","",IF(OR($K54="",$L54="",$M54="") ,"",SUM($K54:$L54)+6-$M54))</x:f>
      </x:c>
      <x:c r="O54" s="83" t="str">
        <x:f>IF($A54="","",IF(COUNTIFS('Gate Checklist'!$A$5:$A$204,$A54,'Gate Checklist'!$B$5:$B$204,0,'Gate Checklist'!$D$5:$D$204,"Fail")+COUNTIFS('Gate Checklist'!$A$5:$A$204,$A54,'Gate Checklist'!$B$5:$B$204,1,'Gate Checklist'!$D$5:$D$204,"Fail")&gt;0,"BLOCKED",IF(AND(COUNTIFS('Gate Checklist'!$A$5:$A$204,$A54,'Gate Checklist'!$B$5:$B$204,0,'Gate Checklist'!$D$5:$D$204,"Pass")&gt;0,COUNTIFS('Gate Checklist'!$A$5:$A$204,$A54,'Gate Checklist'!$B$5:$B$204,1,'Gate Checklist'!$D$5:$D$204,"Pass")&gt;0),IF($P54="Ready for mapping","READY FOR MAPPING",IF($P54="Ready with remediation","READY WITH REMEDIATION",IF($P54="Deferred","DEFERRED","DISPOSITION REQUIRED"))),IF(COUNTIFS('Gate Checklist'!$A$5:$A$204,$A54,'Gate Checklist'!$B$5:$B$204,0,'Gate Checklist'!$D$5:$D$204,"Pass")+COUNTIFS('Gate Checklist'!$A$5:$A$204,$A54,'Gate Checklist'!$B$5:$B$204,1,'Gate Checklist'!$D$5:$D$204,"Pass")&gt;0,"IN PROGRESS","NOT ASSESSED"))))</x:f>
      </x:c>
      <x:c r="P54" s="82"/>
      <x:c r="Q54" s="82"/>
      <x:c r="R54" s="83"/>
      <x:c r="S54" s="82"/>
    </x:row>
    <x:row r="55">
      <x:c r="K55" s="82"/>
      <x:c r="L55" s="82"/>
      <x:c r="M55" s="82"/>
      <x:c r="N55" s="83" t="str">
        <x:f>IF($A55="","",IF(OR($K55="",$L55="",$M55="") ,"",SUM($K55:$L55)+6-$M55))</x:f>
      </x:c>
      <x:c r="O55" s="83" t="str">
        <x:f>IF($A55="","",IF(COUNTIFS('Gate Checklist'!$A$5:$A$204,$A55,'Gate Checklist'!$B$5:$B$204,0,'Gate Checklist'!$D$5:$D$204,"Fail")+COUNTIFS('Gate Checklist'!$A$5:$A$204,$A55,'Gate Checklist'!$B$5:$B$204,1,'Gate Checklist'!$D$5:$D$204,"Fail")&gt;0,"BLOCKED",IF(AND(COUNTIFS('Gate Checklist'!$A$5:$A$204,$A55,'Gate Checklist'!$B$5:$B$204,0,'Gate Checklist'!$D$5:$D$204,"Pass")&gt;0,COUNTIFS('Gate Checklist'!$A$5:$A$204,$A55,'Gate Checklist'!$B$5:$B$204,1,'Gate Checklist'!$D$5:$D$204,"Pass")&gt;0),IF($P55="Ready for mapping","READY FOR MAPPING",IF($P55="Ready with remediation","READY WITH REMEDIATION",IF($P55="Deferred","DEFERRED","DISPOSITION REQUIRED"))),IF(COUNTIFS('Gate Checklist'!$A$5:$A$204,$A55,'Gate Checklist'!$B$5:$B$204,0,'Gate Checklist'!$D$5:$D$204,"Pass")+COUNTIFS('Gate Checklist'!$A$5:$A$204,$A55,'Gate Checklist'!$B$5:$B$204,1,'Gate Checklist'!$D$5:$D$204,"Pass")&gt;0,"IN PROGRESS","NOT ASSESSED"))))</x:f>
      </x:c>
      <x:c r="P55" s="82"/>
      <x:c r="Q55" s="82"/>
      <x:c r="R55" s="83"/>
      <x:c r="S55" s="82"/>
    </x:row>
    <x:row r="56">
      <x:c r="K56" s="82"/>
      <x:c r="L56" s="82"/>
      <x:c r="M56" s="82"/>
      <x:c r="N56" s="83" t="str">
        <x:f>IF($A56="","",IF(OR($K56="",$L56="",$M56="") ,"",SUM($K56:$L56)+6-$M56))</x:f>
      </x:c>
      <x:c r="O56" s="83" t="str">
        <x:f>IF($A56="","",IF(COUNTIFS('Gate Checklist'!$A$5:$A$204,$A56,'Gate Checklist'!$B$5:$B$204,0,'Gate Checklist'!$D$5:$D$204,"Fail")+COUNTIFS('Gate Checklist'!$A$5:$A$204,$A56,'Gate Checklist'!$B$5:$B$204,1,'Gate Checklist'!$D$5:$D$204,"Fail")&gt;0,"BLOCKED",IF(AND(COUNTIFS('Gate Checklist'!$A$5:$A$204,$A56,'Gate Checklist'!$B$5:$B$204,0,'Gate Checklist'!$D$5:$D$204,"Pass")&gt;0,COUNTIFS('Gate Checklist'!$A$5:$A$204,$A56,'Gate Checklist'!$B$5:$B$204,1,'Gate Checklist'!$D$5:$D$204,"Pass")&gt;0),IF($P56="Ready for mapping","READY FOR MAPPING",IF($P56="Ready with remediation","READY WITH REMEDIATION",IF($P56="Deferred","DEFERRED","DISPOSITION REQUIRED"))),IF(COUNTIFS('Gate Checklist'!$A$5:$A$204,$A56,'Gate Checklist'!$B$5:$B$204,0,'Gate Checklist'!$D$5:$D$204,"Pass")+COUNTIFS('Gate Checklist'!$A$5:$A$204,$A56,'Gate Checklist'!$B$5:$B$204,1,'Gate Checklist'!$D$5:$D$204,"Pass")&gt;0,"IN PROGRESS","NOT ASSESSED"))))</x:f>
      </x:c>
      <x:c r="P56" s="82"/>
      <x:c r="Q56" s="82"/>
      <x:c r="R56" s="83"/>
      <x:c r="S56" s="82"/>
    </x:row>
    <x:row r="57">
      <x:c r="K57" s="82"/>
      <x:c r="L57" s="82"/>
      <x:c r="M57" s="82"/>
      <x:c r="N57" s="83" t="str">
        <x:f>IF($A57="","",IF(OR($K57="",$L57="",$M57="") ,"",SUM($K57:$L57)+6-$M57))</x:f>
      </x:c>
      <x:c r="O57" s="83" t="str">
        <x:f>IF($A57="","",IF(COUNTIFS('Gate Checklist'!$A$5:$A$204,$A57,'Gate Checklist'!$B$5:$B$204,0,'Gate Checklist'!$D$5:$D$204,"Fail")+COUNTIFS('Gate Checklist'!$A$5:$A$204,$A57,'Gate Checklist'!$B$5:$B$204,1,'Gate Checklist'!$D$5:$D$204,"Fail")&gt;0,"BLOCKED",IF(AND(COUNTIFS('Gate Checklist'!$A$5:$A$204,$A57,'Gate Checklist'!$B$5:$B$204,0,'Gate Checklist'!$D$5:$D$204,"Pass")&gt;0,COUNTIFS('Gate Checklist'!$A$5:$A$204,$A57,'Gate Checklist'!$B$5:$B$204,1,'Gate Checklist'!$D$5:$D$204,"Pass")&gt;0),IF($P57="Ready for mapping","READY FOR MAPPING",IF($P57="Ready with remediation","READY WITH REMEDIATION",IF($P57="Deferred","DEFERRED","DISPOSITION REQUIRED"))),IF(COUNTIFS('Gate Checklist'!$A$5:$A$204,$A57,'Gate Checklist'!$B$5:$B$204,0,'Gate Checklist'!$D$5:$D$204,"Pass")+COUNTIFS('Gate Checklist'!$A$5:$A$204,$A57,'Gate Checklist'!$B$5:$B$204,1,'Gate Checklist'!$D$5:$D$204,"Pass")&gt;0,"IN PROGRESS","NOT ASSESSED"))))</x:f>
      </x:c>
      <x:c r="P57" s="82"/>
      <x:c r="Q57" s="82"/>
      <x:c r="R57" s="83"/>
      <x:c r="S57" s="82"/>
    </x:row>
    <x:row r="58">
      <x:c r="K58" s="82"/>
      <x:c r="L58" s="82"/>
      <x:c r="M58" s="82"/>
      <x:c r="N58" s="83" t="str">
        <x:f>IF($A58="","",IF(OR($K58="",$L58="",$M58="") ,"",SUM($K58:$L58)+6-$M58))</x:f>
      </x:c>
      <x:c r="O58" s="83" t="str">
        <x:f>IF($A58="","",IF(COUNTIFS('Gate Checklist'!$A$5:$A$204,$A58,'Gate Checklist'!$B$5:$B$204,0,'Gate Checklist'!$D$5:$D$204,"Fail")+COUNTIFS('Gate Checklist'!$A$5:$A$204,$A58,'Gate Checklist'!$B$5:$B$204,1,'Gate Checklist'!$D$5:$D$204,"Fail")&gt;0,"BLOCKED",IF(AND(COUNTIFS('Gate Checklist'!$A$5:$A$204,$A58,'Gate Checklist'!$B$5:$B$204,0,'Gate Checklist'!$D$5:$D$204,"Pass")&gt;0,COUNTIFS('Gate Checklist'!$A$5:$A$204,$A58,'Gate Checklist'!$B$5:$B$204,1,'Gate Checklist'!$D$5:$D$204,"Pass")&gt;0),IF($P58="Ready for mapping","READY FOR MAPPING",IF($P58="Ready with remediation","READY WITH REMEDIATION",IF($P58="Deferred","DEFERRED","DISPOSITION REQUIRED"))),IF(COUNTIFS('Gate Checklist'!$A$5:$A$204,$A58,'Gate Checklist'!$B$5:$B$204,0,'Gate Checklist'!$D$5:$D$204,"Pass")+COUNTIFS('Gate Checklist'!$A$5:$A$204,$A58,'Gate Checklist'!$B$5:$B$204,1,'Gate Checklist'!$D$5:$D$204,"Pass")&gt;0,"IN PROGRESS","NOT ASSESSED"))))</x:f>
      </x:c>
      <x:c r="P58" s="82"/>
      <x:c r="Q58" s="82"/>
      <x:c r="R58" s="83"/>
      <x:c r="S58" s="82"/>
    </x:row>
    <x:row r="59">
      <x:c r="K59" s="82"/>
      <x:c r="L59" s="82"/>
      <x:c r="M59" s="82"/>
      <x:c r="N59" s="83" t="str">
        <x:f>IF($A59="","",IF(OR($K59="",$L59="",$M59="") ,"",SUM($K59:$L59)+6-$M59))</x:f>
      </x:c>
      <x:c r="O59" s="83" t="str">
        <x:f>IF($A59="","",IF(COUNTIFS('Gate Checklist'!$A$5:$A$204,$A59,'Gate Checklist'!$B$5:$B$204,0,'Gate Checklist'!$D$5:$D$204,"Fail")+COUNTIFS('Gate Checklist'!$A$5:$A$204,$A59,'Gate Checklist'!$B$5:$B$204,1,'Gate Checklist'!$D$5:$D$204,"Fail")&gt;0,"BLOCKED",IF(AND(COUNTIFS('Gate Checklist'!$A$5:$A$204,$A59,'Gate Checklist'!$B$5:$B$204,0,'Gate Checklist'!$D$5:$D$204,"Pass")&gt;0,COUNTIFS('Gate Checklist'!$A$5:$A$204,$A59,'Gate Checklist'!$B$5:$B$204,1,'Gate Checklist'!$D$5:$D$204,"Pass")&gt;0),IF($P59="Ready for mapping","READY FOR MAPPING",IF($P59="Ready with remediation","READY WITH REMEDIATION",IF($P59="Deferred","DEFERRED","DISPOSITION REQUIRED"))),IF(COUNTIFS('Gate Checklist'!$A$5:$A$204,$A59,'Gate Checklist'!$B$5:$B$204,0,'Gate Checklist'!$D$5:$D$204,"Pass")+COUNTIFS('Gate Checklist'!$A$5:$A$204,$A59,'Gate Checklist'!$B$5:$B$204,1,'Gate Checklist'!$D$5:$D$204,"Pass")&gt;0,"IN PROGRESS","NOT ASSESSED"))))</x:f>
      </x:c>
      <x:c r="P59" s="82"/>
      <x:c r="Q59" s="82"/>
      <x:c r="R59" s="83"/>
      <x:c r="S59" s="82"/>
    </x:row>
    <x:row r="60">
      <x:c r="K60" s="82"/>
      <x:c r="L60" s="82"/>
      <x:c r="M60" s="82"/>
      <x:c r="N60" s="83" t="str">
        <x:f>IF($A60="","",IF(OR($K60="",$L60="",$M60="") ,"",SUM($K60:$L60)+6-$M60))</x:f>
      </x:c>
      <x:c r="O60" s="83" t="str">
        <x:f>IF($A60="","",IF(COUNTIFS('Gate Checklist'!$A$5:$A$204,$A60,'Gate Checklist'!$B$5:$B$204,0,'Gate Checklist'!$D$5:$D$204,"Fail")+COUNTIFS('Gate Checklist'!$A$5:$A$204,$A60,'Gate Checklist'!$B$5:$B$204,1,'Gate Checklist'!$D$5:$D$204,"Fail")&gt;0,"BLOCKED",IF(AND(COUNTIFS('Gate Checklist'!$A$5:$A$204,$A60,'Gate Checklist'!$B$5:$B$204,0,'Gate Checklist'!$D$5:$D$204,"Pass")&gt;0,COUNTIFS('Gate Checklist'!$A$5:$A$204,$A60,'Gate Checklist'!$B$5:$B$204,1,'Gate Checklist'!$D$5:$D$204,"Pass")&gt;0),IF($P60="Ready for mapping","READY FOR MAPPING",IF($P60="Ready with remediation","READY WITH REMEDIATION",IF($P60="Deferred","DEFERRED","DISPOSITION REQUIRED"))),IF(COUNTIFS('Gate Checklist'!$A$5:$A$204,$A60,'Gate Checklist'!$B$5:$B$204,0,'Gate Checklist'!$D$5:$D$204,"Pass")+COUNTIFS('Gate Checklist'!$A$5:$A$204,$A60,'Gate Checklist'!$B$5:$B$204,1,'Gate Checklist'!$D$5:$D$204,"Pass")&gt;0,"IN PROGRESS","NOT ASSESSED"))))</x:f>
      </x:c>
      <x:c r="P60" s="82"/>
      <x:c r="Q60" s="82"/>
      <x:c r="R60" s="83"/>
      <x:c r="S60" s="82"/>
    </x:row>
    <x:row r="61">
      <x:c r="K61" s="82"/>
      <x:c r="L61" s="82"/>
      <x:c r="M61" s="82"/>
      <x:c r="N61" s="83" t="str">
        <x:f>IF($A61="","",IF(OR($K61="",$L61="",$M61="") ,"",SUM($K61:$L61)+6-$M61))</x:f>
      </x:c>
      <x:c r="O61" s="83" t="str">
        <x:f>IF($A61="","",IF(COUNTIFS('Gate Checklist'!$A$5:$A$204,$A61,'Gate Checklist'!$B$5:$B$204,0,'Gate Checklist'!$D$5:$D$204,"Fail")+COUNTIFS('Gate Checklist'!$A$5:$A$204,$A61,'Gate Checklist'!$B$5:$B$204,1,'Gate Checklist'!$D$5:$D$204,"Fail")&gt;0,"BLOCKED",IF(AND(COUNTIFS('Gate Checklist'!$A$5:$A$204,$A61,'Gate Checklist'!$B$5:$B$204,0,'Gate Checklist'!$D$5:$D$204,"Pass")&gt;0,COUNTIFS('Gate Checklist'!$A$5:$A$204,$A61,'Gate Checklist'!$B$5:$B$204,1,'Gate Checklist'!$D$5:$D$204,"Pass")&gt;0),IF($P61="Ready for mapping","READY FOR MAPPING",IF($P61="Ready with remediation","READY WITH REMEDIATION",IF($P61="Deferred","DEFERRED","DISPOSITION REQUIRED"))),IF(COUNTIFS('Gate Checklist'!$A$5:$A$204,$A61,'Gate Checklist'!$B$5:$B$204,0,'Gate Checklist'!$D$5:$D$204,"Pass")+COUNTIFS('Gate Checklist'!$A$5:$A$204,$A61,'Gate Checklist'!$B$5:$B$204,1,'Gate Checklist'!$D$5:$D$204,"Pass")&gt;0,"IN PROGRESS","NOT ASSESSED"))))</x:f>
      </x:c>
      <x:c r="P61" s="82"/>
      <x:c r="Q61" s="82"/>
      <x:c r="R61" s="83"/>
      <x:c r="S61" s="82"/>
    </x:row>
    <x:row r="62">
      <x:c r="K62" s="82"/>
      <x:c r="L62" s="82"/>
      <x:c r="M62" s="82"/>
      <x:c r="N62" s="83" t="str">
        <x:f>IF($A62="","",IF(OR($K62="",$L62="",$M62="") ,"",SUM($K62:$L62)+6-$M62))</x:f>
      </x:c>
      <x:c r="O62" s="83" t="str">
        <x:f>IF($A62="","",IF(COUNTIFS('Gate Checklist'!$A$5:$A$204,$A62,'Gate Checklist'!$B$5:$B$204,0,'Gate Checklist'!$D$5:$D$204,"Fail")+COUNTIFS('Gate Checklist'!$A$5:$A$204,$A62,'Gate Checklist'!$B$5:$B$204,1,'Gate Checklist'!$D$5:$D$204,"Fail")&gt;0,"BLOCKED",IF(AND(COUNTIFS('Gate Checklist'!$A$5:$A$204,$A62,'Gate Checklist'!$B$5:$B$204,0,'Gate Checklist'!$D$5:$D$204,"Pass")&gt;0,COUNTIFS('Gate Checklist'!$A$5:$A$204,$A62,'Gate Checklist'!$B$5:$B$204,1,'Gate Checklist'!$D$5:$D$204,"Pass")&gt;0),IF($P62="Ready for mapping","READY FOR MAPPING",IF($P62="Ready with remediation","READY WITH REMEDIATION",IF($P62="Deferred","DEFERRED","DISPOSITION REQUIRED"))),IF(COUNTIFS('Gate Checklist'!$A$5:$A$204,$A62,'Gate Checklist'!$B$5:$B$204,0,'Gate Checklist'!$D$5:$D$204,"Pass")+COUNTIFS('Gate Checklist'!$A$5:$A$204,$A62,'Gate Checklist'!$B$5:$B$204,1,'Gate Checklist'!$D$5:$D$204,"Pass")&gt;0,"IN PROGRESS","NOT ASSESSED"))))</x:f>
      </x:c>
      <x:c r="P62" s="82"/>
      <x:c r="Q62" s="82"/>
      <x:c r="R62" s="83"/>
      <x:c r="S62" s="82"/>
    </x:row>
    <x:row r="63">
      <x:c r="K63" s="82"/>
      <x:c r="L63" s="82"/>
      <x:c r="M63" s="82"/>
      <x:c r="N63" s="83" t="str">
        <x:f>IF($A63="","",IF(OR($K63="",$L63="",$M63="") ,"",SUM($K63:$L63)+6-$M63))</x:f>
      </x:c>
      <x:c r="O63" s="83" t="str">
        <x:f>IF($A63="","",IF(COUNTIFS('Gate Checklist'!$A$5:$A$204,$A63,'Gate Checklist'!$B$5:$B$204,0,'Gate Checklist'!$D$5:$D$204,"Fail")+COUNTIFS('Gate Checklist'!$A$5:$A$204,$A63,'Gate Checklist'!$B$5:$B$204,1,'Gate Checklist'!$D$5:$D$204,"Fail")&gt;0,"BLOCKED",IF(AND(COUNTIFS('Gate Checklist'!$A$5:$A$204,$A63,'Gate Checklist'!$B$5:$B$204,0,'Gate Checklist'!$D$5:$D$204,"Pass")&gt;0,COUNTIFS('Gate Checklist'!$A$5:$A$204,$A63,'Gate Checklist'!$B$5:$B$204,1,'Gate Checklist'!$D$5:$D$204,"Pass")&gt;0),IF($P63="Ready for mapping","READY FOR MAPPING",IF($P63="Ready with remediation","READY WITH REMEDIATION",IF($P63="Deferred","DEFERRED","DISPOSITION REQUIRED"))),IF(COUNTIFS('Gate Checklist'!$A$5:$A$204,$A63,'Gate Checklist'!$B$5:$B$204,0,'Gate Checklist'!$D$5:$D$204,"Pass")+COUNTIFS('Gate Checklist'!$A$5:$A$204,$A63,'Gate Checklist'!$B$5:$B$204,1,'Gate Checklist'!$D$5:$D$204,"Pass")&gt;0,"IN PROGRESS","NOT ASSESSED"))))</x:f>
      </x:c>
      <x:c r="P63" s="82"/>
      <x:c r="Q63" s="82"/>
      <x:c r="R63" s="83"/>
      <x:c r="S63" s="82"/>
    </x:row>
    <x:row r="64">
      <x:c r="K64" s="82"/>
      <x:c r="L64" s="82"/>
      <x:c r="M64" s="82"/>
      <x:c r="N64" s="83" t="str">
        <x:f>IF($A64="","",IF(OR($K64="",$L64="",$M64="") ,"",SUM($K64:$L64)+6-$M64))</x:f>
      </x:c>
      <x:c r="O64" s="83" t="str">
        <x:f>IF($A64="","",IF(COUNTIFS('Gate Checklist'!$A$5:$A$204,$A64,'Gate Checklist'!$B$5:$B$204,0,'Gate Checklist'!$D$5:$D$204,"Fail")+COUNTIFS('Gate Checklist'!$A$5:$A$204,$A64,'Gate Checklist'!$B$5:$B$204,1,'Gate Checklist'!$D$5:$D$204,"Fail")&gt;0,"BLOCKED",IF(AND(COUNTIFS('Gate Checklist'!$A$5:$A$204,$A64,'Gate Checklist'!$B$5:$B$204,0,'Gate Checklist'!$D$5:$D$204,"Pass")&gt;0,COUNTIFS('Gate Checklist'!$A$5:$A$204,$A64,'Gate Checklist'!$B$5:$B$204,1,'Gate Checklist'!$D$5:$D$204,"Pass")&gt;0),IF($P64="Ready for mapping","READY FOR MAPPING",IF($P64="Ready with remediation","READY WITH REMEDIATION",IF($P64="Deferred","DEFERRED","DISPOSITION REQUIRED"))),IF(COUNTIFS('Gate Checklist'!$A$5:$A$204,$A64,'Gate Checklist'!$B$5:$B$204,0,'Gate Checklist'!$D$5:$D$204,"Pass")+COUNTIFS('Gate Checklist'!$A$5:$A$204,$A64,'Gate Checklist'!$B$5:$B$204,1,'Gate Checklist'!$D$5:$D$204,"Pass")&gt;0,"IN PROGRESS","NOT ASSESSED"))))</x:f>
      </x:c>
      <x:c r="P64" s="82"/>
      <x:c r="Q64" s="82"/>
      <x:c r="R64" s="83"/>
      <x:c r="S64" s="82"/>
    </x:row>
    <x:row r="65">
      <x:c r="K65" s="82"/>
      <x:c r="L65" s="82"/>
      <x:c r="M65" s="82"/>
      <x:c r="N65" s="83" t="str">
        <x:f>IF($A65="","",IF(OR($K65="",$L65="",$M65="") ,"",SUM($K65:$L65)+6-$M65))</x:f>
      </x:c>
      <x:c r="O65" s="83" t="str">
        <x:f>IF($A65="","",IF(COUNTIFS('Gate Checklist'!$A$5:$A$204,$A65,'Gate Checklist'!$B$5:$B$204,0,'Gate Checklist'!$D$5:$D$204,"Fail")+COUNTIFS('Gate Checklist'!$A$5:$A$204,$A65,'Gate Checklist'!$B$5:$B$204,1,'Gate Checklist'!$D$5:$D$204,"Fail")&gt;0,"BLOCKED",IF(AND(COUNTIFS('Gate Checklist'!$A$5:$A$204,$A65,'Gate Checklist'!$B$5:$B$204,0,'Gate Checklist'!$D$5:$D$204,"Pass")&gt;0,COUNTIFS('Gate Checklist'!$A$5:$A$204,$A65,'Gate Checklist'!$B$5:$B$204,1,'Gate Checklist'!$D$5:$D$204,"Pass")&gt;0),IF($P65="Ready for mapping","READY FOR MAPPING",IF($P65="Ready with remediation","READY WITH REMEDIATION",IF($P65="Deferred","DEFERRED","DISPOSITION REQUIRED"))),IF(COUNTIFS('Gate Checklist'!$A$5:$A$204,$A65,'Gate Checklist'!$B$5:$B$204,0,'Gate Checklist'!$D$5:$D$204,"Pass")+COUNTIFS('Gate Checklist'!$A$5:$A$204,$A65,'Gate Checklist'!$B$5:$B$204,1,'Gate Checklist'!$D$5:$D$204,"Pass")&gt;0,"IN PROGRESS","NOT ASSESSED"))))</x:f>
      </x:c>
      <x:c r="P65" s="82"/>
      <x:c r="Q65" s="82"/>
      <x:c r="R65" s="83"/>
      <x:c r="S65" s="82"/>
    </x:row>
    <x:row r="66">
      <x:c r="K66" s="82"/>
      <x:c r="L66" s="82"/>
      <x:c r="M66" s="82"/>
      <x:c r="N66" s="83" t="str">
        <x:f>IF($A66="","",IF(OR($K66="",$L66="",$M66="") ,"",SUM($K66:$L66)+6-$M66))</x:f>
      </x:c>
      <x:c r="O66" s="83" t="str">
        <x:f>IF($A66="","",IF(COUNTIFS('Gate Checklist'!$A$5:$A$204,$A66,'Gate Checklist'!$B$5:$B$204,0,'Gate Checklist'!$D$5:$D$204,"Fail")+COUNTIFS('Gate Checklist'!$A$5:$A$204,$A66,'Gate Checklist'!$B$5:$B$204,1,'Gate Checklist'!$D$5:$D$204,"Fail")&gt;0,"BLOCKED",IF(AND(COUNTIFS('Gate Checklist'!$A$5:$A$204,$A66,'Gate Checklist'!$B$5:$B$204,0,'Gate Checklist'!$D$5:$D$204,"Pass")&gt;0,COUNTIFS('Gate Checklist'!$A$5:$A$204,$A66,'Gate Checklist'!$B$5:$B$204,1,'Gate Checklist'!$D$5:$D$204,"Pass")&gt;0),IF($P66="Ready for mapping","READY FOR MAPPING",IF($P66="Ready with remediation","READY WITH REMEDIATION",IF($P66="Deferred","DEFERRED","DISPOSITION REQUIRED"))),IF(COUNTIFS('Gate Checklist'!$A$5:$A$204,$A66,'Gate Checklist'!$B$5:$B$204,0,'Gate Checklist'!$D$5:$D$204,"Pass")+COUNTIFS('Gate Checklist'!$A$5:$A$204,$A66,'Gate Checklist'!$B$5:$B$204,1,'Gate Checklist'!$D$5:$D$204,"Pass")&gt;0,"IN PROGRESS","NOT ASSESSED"))))</x:f>
      </x:c>
      <x:c r="P66" s="82"/>
      <x:c r="Q66" s="82"/>
      <x:c r="R66" s="83"/>
      <x:c r="S66" s="82"/>
    </x:row>
    <x:row r="67">
      <x:c r="K67" s="82"/>
      <x:c r="L67" s="82"/>
      <x:c r="M67" s="82"/>
      <x:c r="N67" s="83" t="str">
        <x:f>IF($A67="","",IF(OR($K67="",$L67="",$M67="") ,"",SUM($K67:$L67)+6-$M67))</x:f>
      </x:c>
      <x:c r="O67" s="83" t="str">
        <x:f>IF($A67="","",IF(COUNTIFS('Gate Checklist'!$A$5:$A$204,$A67,'Gate Checklist'!$B$5:$B$204,0,'Gate Checklist'!$D$5:$D$204,"Fail")+COUNTIFS('Gate Checklist'!$A$5:$A$204,$A67,'Gate Checklist'!$B$5:$B$204,1,'Gate Checklist'!$D$5:$D$204,"Fail")&gt;0,"BLOCKED",IF(AND(COUNTIFS('Gate Checklist'!$A$5:$A$204,$A67,'Gate Checklist'!$B$5:$B$204,0,'Gate Checklist'!$D$5:$D$204,"Pass")&gt;0,COUNTIFS('Gate Checklist'!$A$5:$A$204,$A67,'Gate Checklist'!$B$5:$B$204,1,'Gate Checklist'!$D$5:$D$204,"Pass")&gt;0),IF($P67="Ready for mapping","READY FOR MAPPING",IF($P67="Ready with remediation","READY WITH REMEDIATION",IF($P67="Deferred","DEFERRED","DISPOSITION REQUIRED"))),IF(COUNTIFS('Gate Checklist'!$A$5:$A$204,$A67,'Gate Checklist'!$B$5:$B$204,0,'Gate Checklist'!$D$5:$D$204,"Pass")+COUNTIFS('Gate Checklist'!$A$5:$A$204,$A67,'Gate Checklist'!$B$5:$B$204,1,'Gate Checklist'!$D$5:$D$204,"Pass")&gt;0,"IN PROGRESS","NOT ASSESSED"))))</x:f>
      </x:c>
      <x:c r="P67" s="82"/>
      <x:c r="Q67" s="82"/>
      <x:c r="R67" s="83"/>
      <x:c r="S67" s="82"/>
    </x:row>
    <x:row r="68">
      <x:c r="K68" s="82"/>
      <x:c r="L68" s="82"/>
      <x:c r="M68" s="82"/>
      <x:c r="N68" s="83" t="str">
        <x:f>IF($A68="","",IF(OR($K68="",$L68="",$M68="") ,"",SUM($K68:$L68)+6-$M68))</x:f>
      </x:c>
      <x:c r="O68" s="83" t="str">
        <x:f>IF($A68="","",IF(COUNTIFS('Gate Checklist'!$A$5:$A$204,$A68,'Gate Checklist'!$B$5:$B$204,0,'Gate Checklist'!$D$5:$D$204,"Fail")+COUNTIFS('Gate Checklist'!$A$5:$A$204,$A68,'Gate Checklist'!$B$5:$B$204,1,'Gate Checklist'!$D$5:$D$204,"Fail")&gt;0,"BLOCKED",IF(AND(COUNTIFS('Gate Checklist'!$A$5:$A$204,$A68,'Gate Checklist'!$B$5:$B$204,0,'Gate Checklist'!$D$5:$D$204,"Pass")&gt;0,COUNTIFS('Gate Checklist'!$A$5:$A$204,$A68,'Gate Checklist'!$B$5:$B$204,1,'Gate Checklist'!$D$5:$D$204,"Pass")&gt;0),IF($P68="Ready for mapping","READY FOR MAPPING",IF($P68="Ready with remediation","READY WITH REMEDIATION",IF($P68="Deferred","DEFERRED","DISPOSITION REQUIRED"))),IF(COUNTIFS('Gate Checklist'!$A$5:$A$204,$A68,'Gate Checklist'!$B$5:$B$204,0,'Gate Checklist'!$D$5:$D$204,"Pass")+COUNTIFS('Gate Checklist'!$A$5:$A$204,$A68,'Gate Checklist'!$B$5:$B$204,1,'Gate Checklist'!$D$5:$D$204,"Pass")&gt;0,"IN PROGRESS","NOT ASSESSED"))))</x:f>
      </x:c>
      <x:c r="P68" s="82"/>
      <x:c r="Q68" s="82"/>
      <x:c r="R68" s="83"/>
      <x:c r="S68" s="82"/>
    </x:row>
    <x:row r="69">
      <x:c r="K69" s="82"/>
      <x:c r="L69" s="82"/>
      <x:c r="M69" s="82"/>
      <x:c r="N69" s="83" t="str">
        <x:f>IF($A69="","",IF(OR($K69="",$L69="",$M69="") ,"",SUM($K69:$L69)+6-$M69))</x:f>
      </x:c>
      <x:c r="O69" s="83" t="str">
        <x:f>IF($A69="","",IF(COUNTIFS('Gate Checklist'!$A$5:$A$204,$A69,'Gate Checklist'!$B$5:$B$204,0,'Gate Checklist'!$D$5:$D$204,"Fail")+COUNTIFS('Gate Checklist'!$A$5:$A$204,$A69,'Gate Checklist'!$B$5:$B$204,1,'Gate Checklist'!$D$5:$D$204,"Fail")&gt;0,"BLOCKED",IF(AND(COUNTIFS('Gate Checklist'!$A$5:$A$204,$A69,'Gate Checklist'!$B$5:$B$204,0,'Gate Checklist'!$D$5:$D$204,"Pass")&gt;0,COUNTIFS('Gate Checklist'!$A$5:$A$204,$A69,'Gate Checklist'!$B$5:$B$204,1,'Gate Checklist'!$D$5:$D$204,"Pass")&gt;0),IF($P69="Ready for mapping","READY FOR MAPPING",IF($P69="Ready with remediation","READY WITH REMEDIATION",IF($P69="Deferred","DEFERRED","DISPOSITION REQUIRED"))),IF(COUNTIFS('Gate Checklist'!$A$5:$A$204,$A69,'Gate Checklist'!$B$5:$B$204,0,'Gate Checklist'!$D$5:$D$204,"Pass")+COUNTIFS('Gate Checklist'!$A$5:$A$204,$A69,'Gate Checklist'!$B$5:$B$204,1,'Gate Checklist'!$D$5:$D$204,"Pass")&gt;0,"IN PROGRESS","NOT ASSESSED"))))</x:f>
      </x:c>
      <x:c r="P69" s="82"/>
      <x:c r="Q69" s="82"/>
      <x:c r="R69" s="83"/>
      <x:c r="S69" s="82"/>
    </x:row>
    <x:row r="70">
      <x:c r="K70" s="82"/>
      <x:c r="L70" s="82"/>
      <x:c r="M70" s="82"/>
      <x:c r="N70" s="83" t="str">
        <x:f>IF($A70="","",IF(OR($K70="",$L70="",$M70="") ,"",SUM($K70:$L70)+6-$M70))</x:f>
      </x:c>
      <x:c r="O70" s="83" t="str">
        <x:f>IF($A70="","",IF(COUNTIFS('Gate Checklist'!$A$5:$A$204,$A70,'Gate Checklist'!$B$5:$B$204,0,'Gate Checklist'!$D$5:$D$204,"Fail")+COUNTIFS('Gate Checklist'!$A$5:$A$204,$A70,'Gate Checklist'!$B$5:$B$204,1,'Gate Checklist'!$D$5:$D$204,"Fail")&gt;0,"BLOCKED",IF(AND(COUNTIFS('Gate Checklist'!$A$5:$A$204,$A70,'Gate Checklist'!$B$5:$B$204,0,'Gate Checklist'!$D$5:$D$204,"Pass")&gt;0,COUNTIFS('Gate Checklist'!$A$5:$A$204,$A70,'Gate Checklist'!$B$5:$B$204,1,'Gate Checklist'!$D$5:$D$204,"Pass")&gt;0),IF($P70="Ready for mapping","READY FOR MAPPING",IF($P70="Ready with remediation","READY WITH REMEDIATION",IF($P70="Deferred","DEFERRED","DISPOSITION REQUIRED"))),IF(COUNTIFS('Gate Checklist'!$A$5:$A$204,$A70,'Gate Checklist'!$B$5:$B$204,0,'Gate Checklist'!$D$5:$D$204,"Pass")+COUNTIFS('Gate Checklist'!$A$5:$A$204,$A70,'Gate Checklist'!$B$5:$B$204,1,'Gate Checklist'!$D$5:$D$204,"Pass")&gt;0,"IN PROGRESS","NOT ASSESSED"))))</x:f>
      </x:c>
      <x:c r="P70" s="82"/>
      <x:c r="Q70" s="82"/>
      <x:c r="R70" s="83"/>
      <x:c r="S70" s="82"/>
    </x:row>
    <x:row r="71">
      <x:c r="K71" s="82"/>
      <x:c r="L71" s="82"/>
      <x:c r="M71" s="82"/>
      <x:c r="N71" s="83" t="str">
        <x:f>IF($A71="","",IF(OR($K71="",$L71="",$M71="") ,"",SUM($K71:$L71)+6-$M71))</x:f>
      </x:c>
      <x:c r="O71" s="83" t="str">
        <x:f>IF($A71="","",IF(COUNTIFS('Gate Checklist'!$A$5:$A$204,$A71,'Gate Checklist'!$B$5:$B$204,0,'Gate Checklist'!$D$5:$D$204,"Fail")+COUNTIFS('Gate Checklist'!$A$5:$A$204,$A71,'Gate Checklist'!$B$5:$B$204,1,'Gate Checklist'!$D$5:$D$204,"Fail")&gt;0,"BLOCKED",IF(AND(COUNTIFS('Gate Checklist'!$A$5:$A$204,$A71,'Gate Checklist'!$B$5:$B$204,0,'Gate Checklist'!$D$5:$D$204,"Pass")&gt;0,COUNTIFS('Gate Checklist'!$A$5:$A$204,$A71,'Gate Checklist'!$B$5:$B$204,1,'Gate Checklist'!$D$5:$D$204,"Pass")&gt;0),IF($P71="Ready for mapping","READY FOR MAPPING",IF($P71="Ready with remediation","READY WITH REMEDIATION",IF($P71="Deferred","DEFERRED","DISPOSITION REQUIRED"))),IF(COUNTIFS('Gate Checklist'!$A$5:$A$204,$A71,'Gate Checklist'!$B$5:$B$204,0,'Gate Checklist'!$D$5:$D$204,"Pass")+COUNTIFS('Gate Checklist'!$A$5:$A$204,$A71,'Gate Checklist'!$B$5:$B$204,1,'Gate Checklist'!$D$5:$D$204,"Pass")&gt;0,"IN PROGRESS","NOT ASSESSED"))))</x:f>
      </x:c>
      <x:c r="P71" s="82"/>
      <x:c r="Q71" s="82"/>
      <x:c r="R71" s="83"/>
      <x:c r="S71" s="82"/>
    </x:row>
    <x:row r="72">
      <x:c r="K72" s="82"/>
      <x:c r="L72" s="82"/>
      <x:c r="M72" s="82"/>
      <x:c r="N72" s="83" t="str">
        <x:f>IF($A72="","",IF(OR($K72="",$L72="",$M72="") ,"",SUM($K72:$L72)+6-$M72))</x:f>
      </x:c>
      <x:c r="O72" s="83" t="str">
        <x:f>IF($A72="","",IF(COUNTIFS('Gate Checklist'!$A$5:$A$204,$A72,'Gate Checklist'!$B$5:$B$204,0,'Gate Checklist'!$D$5:$D$204,"Fail")+COUNTIFS('Gate Checklist'!$A$5:$A$204,$A72,'Gate Checklist'!$B$5:$B$204,1,'Gate Checklist'!$D$5:$D$204,"Fail")&gt;0,"BLOCKED",IF(AND(COUNTIFS('Gate Checklist'!$A$5:$A$204,$A72,'Gate Checklist'!$B$5:$B$204,0,'Gate Checklist'!$D$5:$D$204,"Pass")&gt;0,COUNTIFS('Gate Checklist'!$A$5:$A$204,$A72,'Gate Checklist'!$B$5:$B$204,1,'Gate Checklist'!$D$5:$D$204,"Pass")&gt;0),IF($P72="Ready for mapping","READY FOR MAPPING",IF($P72="Ready with remediation","READY WITH REMEDIATION",IF($P72="Deferred","DEFERRED","DISPOSITION REQUIRED"))),IF(COUNTIFS('Gate Checklist'!$A$5:$A$204,$A72,'Gate Checklist'!$B$5:$B$204,0,'Gate Checklist'!$D$5:$D$204,"Pass")+COUNTIFS('Gate Checklist'!$A$5:$A$204,$A72,'Gate Checklist'!$B$5:$B$204,1,'Gate Checklist'!$D$5:$D$204,"Pass")&gt;0,"IN PROGRESS","NOT ASSESSED"))))</x:f>
      </x:c>
      <x:c r="P72" s="82"/>
      <x:c r="Q72" s="82"/>
      <x:c r="R72" s="83"/>
      <x:c r="S72" s="82"/>
    </x:row>
    <x:row r="73">
      <x:c r="K73" s="82"/>
      <x:c r="L73" s="82"/>
      <x:c r="M73" s="82"/>
      <x:c r="N73" s="83" t="str">
        <x:f>IF($A73="","",IF(OR($K73="",$L73="",$M73="") ,"",SUM($K73:$L73)+6-$M73))</x:f>
      </x:c>
      <x:c r="O73" s="83" t="str">
        <x:f>IF($A73="","",IF(COUNTIFS('Gate Checklist'!$A$5:$A$204,$A73,'Gate Checklist'!$B$5:$B$204,0,'Gate Checklist'!$D$5:$D$204,"Fail")+COUNTIFS('Gate Checklist'!$A$5:$A$204,$A73,'Gate Checklist'!$B$5:$B$204,1,'Gate Checklist'!$D$5:$D$204,"Fail")&gt;0,"BLOCKED",IF(AND(COUNTIFS('Gate Checklist'!$A$5:$A$204,$A73,'Gate Checklist'!$B$5:$B$204,0,'Gate Checklist'!$D$5:$D$204,"Pass")&gt;0,COUNTIFS('Gate Checklist'!$A$5:$A$204,$A73,'Gate Checklist'!$B$5:$B$204,1,'Gate Checklist'!$D$5:$D$204,"Pass")&gt;0),IF($P73="Ready for mapping","READY FOR MAPPING",IF($P73="Ready with remediation","READY WITH REMEDIATION",IF($P73="Deferred","DEFERRED","DISPOSITION REQUIRED"))),IF(COUNTIFS('Gate Checklist'!$A$5:$A$204,$A73,'Gate Checklist'!$B$5:$B$204,0,'Gate Checklist'!$D$5:$D$204,"Pass")+COUNTIFS('Gate Checklist'!$A$5:$A$204,$A73,'Gate Checklist'!$B$5:$B$204,1,'Gate Checklist'!$D$5:$D$204,"Pass")&gt;0,"IN PROGRESS","NOT ASSESSED"))))</x:f>
      </x:c>
      <x:c r="P73" s="82"/>
      <x:c r="Q73" s="82"/>
      <x:c r="R73" s="83"/>
      <x:c r="S73" s="82"/>
    </x:row>
    <x:row r="74">
      <x:c r="K74" s="82"/>
      <x:c r="L74" s="82"/>
      <x:c r="M74" s="82"/>
      <x:c r="N74" s="83" t="str">
        <x:f>IF($A74="","",IF(OR($K74="",$L74="",$M74="") ,"",SUM($K74:$L74)+6-$M74))</x:f>
      </x:c>
      <x:c r="O74" s="83" t="str">
        <x:f>IF($A74="","",IF(COUNTIFS('Gate Checklist'!$A$5:$A$204,$A74,'Gate Checklist'!$B$5:$B$204,0,'Gate Checklist'!$D$5:$D$204,"Fail")+COUNTIFS('Gate Checklist'!$A$5:$A$204,$A74,'Gate Checklist'!$B$5:$B$204,1,'Gate Checklist'!$D$5:$D$204,"Fail")&gt;0,"BLOCKED",IF(AND(COUNTIFS('Gate Checklist'!$A$5:$A$204,$A74,'Gate Checklist'!$B$5:$B$204,0,'Gate Checklist'!$D$5:$D$204,"Pass")&gt;0,COUNTIFS('Gate Checklist'!$A$5:$A$204,$A74,'Gate Checklist'!$B$5:$B$204,1,'Gate Checklist'!$D$5:$D$204,"Pass")&gt;0),IF($P74="Ready for mapping","READY FOR MAPPING",IF($P74="Ready with remediation","READY WITH REMEDIATION",IF($P74="Deferred","DEFERRED","DISPOSITION REQUIRED"))),IF(COUNTIFS('Gate Checklist'!$A$5:$A$204,$A74,'Gate Checklist'!$B$5:$B$204,0,'Gate Checklist'!$D$5:$D$204,"Pass")+COUNTIFS('Gate Checklist'!$A$5:$A$204,$A74,'Gate Checklist'!$B$5:$B$204,1,'Gate Checklist'!$D$5:$D$204,"Pass")&gt;0,"IN PROGRESS","NOT ASSESSED"))))</x:f>
      </x:c>
      <x:c r="P74" s="82"/>
      <x:c r="Q74" s="82"/>
      <x:c r="R74" s="83"/>
      <x:c r="S74" s="82"/>
    </x:row>
    <x:row r="75">
      <x:c r="K75" s="82"/>
      <x:c r="L75" s="82"/>
      <x:c r="M75" s="82"/>
      <x:c r="N75" s="83" t="str">
        <x:f>IF($A75="","",IF(OR($K75="",$L75="",$M75="") ,"",SUM($K75:$L75)+6-$M75))</x:f>
      </x:c>
      <x:c r="O75" s="83" t="str">
        <x:f>IF($A75="","",IF(COUNTIFS('Gate Checklist'!$A$5:$A$204,$A75,'Gate Checklist'!$B$5:$B$204,0,'Gate Checklist'!$D$5:$D$204,"Fail")+COUNTIFS('Gate Checklist'!$A$5:$A$204,$A75,'Gate Checklist'!$B$5:$B$204,1,'Gate Checklist'!$D$5:$D$204,"Fail")&gt;0,"BLOCKED",IF(AND(COUNTIFS('Gate Checklist'!$A$5:$A$204,$A75,'Gate Checklist'!$B$5:$B$204,0,'Gate Checklist'!$D$5:$D$204,"Pass")&gt;0,COUNTIFS('Gate Checklist'!$A$5:$A$204,$A75,'Gate Checklist'!$B$5:$B$204,1,'Gate Checklist'!$D$5:$D$204,"Pass")&gt;0),IF($P75="Ready for mapping","READY FOR MAPPING",IF($P75="Ready with remediation","READY WITH REMEDIATION",IF($P75="Deferred","DEFERRED","DISPOSITION REQUIRED"))),IF(COUNTIFS('Gate Checklist'!$A$5:$A$204,$A75,'Gate Checklist'!$B$5:$B$204,0,'Gate Checklist'!$D$5:$D$204,"Pass")+COUNTIFS('Gate Checklist'!$A$5:$A$204,$A75,'Gate Checklist'!$B$5:$B$204,1,'Gate Checklist'!$D$5:$D$204,"Pass")&gt;0,"IN PROGRESS","NOT ASSESSED"))))</x:f>
      </x:c>
      <x:c r="P75" s="82"/>
      <x:c r="Q75" s="82"/>
      <x:c r="R75" s="83"/>
      <x:c r="S75" s="82"/>
    </x:row>
    <x:row r="76">
      <x:c r="K76" s="82"/>
      <x:c r="L76" s="82"/>
      <x:c r="M76" s="82"/>
      <x:c r="N76" s="83" t="str">
        <x:f>IF($A76="","",IF(OR($K76="",$L76="",$M76="") ,"",SUM($K76:$L76)+6-$M76))</x:f>
      </x:c>
      <x:c r="O76" s="83" t="str">
        <x:f>IF($A76="","",IF(COUNTIFS('Gate Checklist'!$A$5:$A$204,$A76,'Gate Checklist'!$B$5:$B$204,0,'Gate Checklist'!$D$5:$D$204,"Fail")+COUNTIFS('Gate Checklist'!$A$5:$A$204,$A76,'Gate Checklist'!$B$5:$B$204,1,'Gate Checklist'!$D$5:$D$204,"Fail")&gt;0,"BLOCKED",IF(AND(COUNTIFS('Gate Checklist'!$A$5:$A$204,$A76,'Gate Checklist'!$B$5:$B$204,0,'Gate Checklist'!$D$5:$D$204,"Pass")&gt;0,COUNTIFS('Gate Checklist'!$A$5:$A$204,$A76,'Gate Checklist'!$B$5:$B$204,1,'Gate Checklist'!$D$5:$D$204,"Pass")&gt;0),IF($P76="Ready for mapping","READY FOR MAPPING",IF($P76="Ready with remediation","READY WITH REMEDIATION",IF($P76="Deferred","DEFERRED","DISPOSITION REQUIRED"))),IF(COUNTIFS('Gate Checklist'!$A$5:$A$204,$A76,'Gate Checklist'!$B$5:$B$204,0,'Gate Checklist'!$D$5:$D$204,"Pass")+COUNTIFS('Gate Checklist'!$A$5:$A$204,$A76,'Gate Checklist'!$B$5:$B$204,1,'Gate Checklist'!$D$5:$D$204,"Pass")&gt;0,"IN PROGRESS","NOT ASSESSED"))))</x:f>
      </x:c>
      <x:c r="P76" s="82"/>
      <x:c r="Q76" s="82"/>
      <x:c r="R76" s="83"/>
      <x:c r="S76" s="82"/>
    </x:row>
    <x:row r="77">
      <x:c r="K77" s="82"/>
      <x:c r="L77" s="82"/>
      <x:c r="M77" s="82"/>
      <x:c r="N77" s="83" t="str">
        <x:f>IF($A77="","",IF(OR($K77="",$L77="",$M77="") ,"",SUM($K77:$L77)+6-$M77))</x:f>
      </x:c>
      <x:c r="O77" s="83" t="str">
        <x:f>IF($A77="","",IF(COUNTIFS('Gate Checklist'!$A$5:$A$204,$A77,'Gate Checklist'!$B$5:$B$204,0,'Gate Checklist'!$D$5:$D$204,"Fail")+COUNTIFS('Gate Checklist'!$A$5:$A$204,$A77,'Gate Checklist'!$B$5:$B$204,1,'Gate Checklist'!$D$5:$D$204,"Fail")&gt;0,"BLOCKED",IF(AND(COUNTIFS('Gate Checklist'!$A$5:$A$204,$A77,'Gate Checklist'!$B$5:$B$204,0,'Gate Checklist'!$D$5:$D$204,"Pass")&gt;0,COUNTIFS('Gate Checklist'!$A$5:$A$204,$A77,'Gate Checklist'!$B$5:$B$204,1,'Gate Checklist'!$D$5:$D$204,"Pass")&gt;0),IF($P77="Ready for mapping","READY FOR MAPPING",IF($P77="Ready with remediation","READY WITH REMEDIATION",IF($P77="Deferred","DEFERRED","DISPOSITION REQUIRED"))),IF(COUNTIFS('Gate Checklist'!$A$5:$A$204,$A77,'Gate Checklist'!$B$5:$B$204,0,'Gate Checklist'!$D$5:$D$204,"Pass")+COUNTIFS('Gate Checklist'!$A$5:$A$204,$A77,'Gate Checklist'!$B$5:$B$204,1,'Gate Checklist'!$D$5:$D$204,"Pass")&gt;0,"IN PROGRESS","NOT ASSESSED"))))</x:f>
      </x:c>
      <x:c r="P77" s="82"/>
      <x:c r="Q77" s="82"/>
      <x:c r="R77" s="83"/>
      <x:c r="S77" s="82"/>
    </x:row>
    <x:row r="78">
      <x:c r="K78" s="82"/>
      <x:c r="L78" s="82"/>
      <x:c r="M78" s="82"/>
      <x:c r="N78" s="83" t="str">
        <x:f>IF($A78="","",IF(OR($K78="",$L78="",$M78="") ,"",SUM($K78:$L78)+6-$M78))</x:f>
      </x:c>
      <x:c r="O78" s="83" t="str">
        <x:f>IF($A78="","",IF(COUNTIFS('Gate Checklist'!$A$5:$A$204,$A78,'Gate Checklist'!$B$5:$B$204,0,'Gate Checklist'!$D$5:$D$204,"Fail")+COUNTIFS('Gate Checklist'!$A$5:$A$204,$A78,'Gate Checklist'!$B$5:$B$204,1,'Gate Checklist'!$D$5:$D$204,"Fail")&gt;0,"BLOCKED",IF(AND(COUNTIFS('Gate Checklist'!$A$5:$A$204,$A78,'Gate Checklist'!$B$5:$B$204,0,'Gate Checklist'!$D$5:$D$204,"Pass")&gt;0,COUNTIFS('Gate Checklist'!$A$5:$A$204,$A78,'Gate Checklist'!$B$5:$B$204,1,'Gate Checklist'!$D$5:$D$204,"Pass")&gt;0),IF($P78="Ready for mapping","READY FOR MAPPING",IF($P78="Ready with remediation","READY WITH REMEDIATION",IF($P78="Deferred","DEFERRED","DISPOSITION REQUIRED"))),IF(COUNTIFS('Gate Checklist'!$A$5:$A$204,$A78,'Gate Checklist'!$B$5:$B$204,0,'Gate Checklist'!$D$5:$D$204,"Pass")+COUNTIFS('Gate Checklist'!$A$5:$A$204,$A78,'Gate Checklist'!$B$5:$B$204,1,'Gate Checklist'!$D$5:$D$204,"Pass")&gt;0,"IN PROGRESS","NOT ASSESSED"))))</x:f>
      </x:c>
      <x:c r="P78" s="82"/>
      <x:c r="Q78" s="82"/>
      <x:c r="R78" s="83"/>
      <x:c r="S78" s="82"/>
    </x:row>
    <x:row r="79">
      <x:c r="K79" s="82"/>
      <x:c r="L79" s="82"/>
      <x:c r="M79" s="82"/>
      <x:c r="N79" s="83" t="str">
        <x:f>IF($A79="","",IF(OR($K79="",$L79="",$M79="") ,"",SUM($K79:$L79)+6-$M79))</x:f>
      </x:c>
      <x:c r="O79" s="83" t="str">
        <x:f>IF($A79="","",IF(COUNTIFS('Gate Checklist'!$A$5:$A$204,$A79,'Gate Checklist'!$B$5:$B$204,0,'Gate Checklist'!$D$5:$D$204,"Fail")+COUNTIFS('Gate Checklist'!$A$5:$A$204,$A79,'Gate Checklist'!$B$5:$B$204,1,'Gate Checklist'!$D$5:$D$204,"Fail")&gt;0,"BLOCKED",IF(AND(COUNTIFS('Gate Checklist'!$A$5:$A$204,$A79,'Gate Checklist'!$B$5:$B$204,0,'Gate Checklist'!$D$5:$D$204,"Pass")&gt;0,COUNTIFS('Gate Checklist'!$A$5:$A$204,$A79,'Gate Checklist'!$B$5:$B$204,1,'Gate Checklist'!$D$5:$D$204,"Pass")&gt;0),IF($P79="Ready for mapping","READY FOR MAPPING",IF($P79="Ready with remediation","READY WITH REMEDIATION",IF($P79="Deferred","DEFERRED","DISPOSITION REQUIRED"))),IF(COUNTIFS('Gate Checklist'!$A$5:$A$204,$A79,'Gate Checklist'!$B$5:$B$204,0,'Gate Checklist'!$D$5:$D$204,"Pass")+COUNTIFS('Gate Checklist'!$A$5:$A$204,$A79,'Gate Checklist'!$B$5:$B$204,1,'Gate Checklist'!$D$5:$D$204,"Pass")&gt;0,"IN PROGRESS","NOT ASSESSED"))))</x:f>
      </x:c>
      <x:c r="P79" s="82"/>
      <x:c r="Q79" s="82"/>
      <x:c r="R79" s="83"/>
      <x:c r="S79" s="82"/>
    </x:row>
    <x:row r="80">
      <x:c r="K80" s="82"/>
      <x:c r="L80" s="82"/>
      <x:c r="M80" s="82"/>
      <x:c r="N80" s="83" t="str">
        <x:f>IF($A80="","",IF(OR($K80="",$L80="",$M80="") ,"",SUM($K80:$L80)+6-$M80))</x:f>
      </x:c>
      <x:c r="O80" s="83" t="str">
        <x:f>IF($A80="","",IF(COUNTIFS('Gate Checklist'!$A$5:$A$204,$A80,'Gate Checklist'!$B$5:$B$204,0,'Gate Checklist'!$D$5:$D$204,"Fail")+COUNTIFS('Gate Checklist'!$A$5:$A$204,$A80,'Gate Checklist'!$B$5:$B$204,1,'Gate Checklist'!$D$5:$D$204,"Fail")&gt;0,"BLOCKED",IF(AND(COUNTIFS('Gate Checklist'!$A$5:$A$204,$A80,'Gate Checklist'!$B$5:$B$204,0,'Gate Checklist'!$D$5:$D$204,"Pass")&gt;0,COUNTIFS('Gate Checklist'!$A$5:$A$204,$A80,'Gate Checklist'!$B$5:$B$204,1,'Gate Checklist'!$D$5:$D$204,"Pass")&gt;0),IF($P80="Ready for mapping","READY FOR MAPPING",IF($P80="Ready with remediation","READY WITH REMEDIATION",IF($P80="Deferred","DEFERRED","DISPOSITION REQUIRED"))),IF(COUNTIFS('Gate Checklist'!$A$5:$A$204,$A80,'Gate Checklist'!$B$5:$B$204,0,'Gate Checklist'!$D$5:$D$204,"Pass")+COUNTIFS('Gate Checklist'!$A$5:$A$204,$A80,'Gate Checklist'!$B$5:$B$204,1,'Gate Checklist'!$D$5:$D$204,"Pass")&gt;0,"IN PROGRESS","NOT ASSESSED"))))</x:f>
      </x:c>
      <x:c r="P80" s="82"/>
      <x:c r="Q80" s="82"/>
      <x:c r="R80" s="83"/>
      <x:c r="S80" s="82"/>
    </x:row>
    <x:row r="81">
      <x:c r="K81" s="82"/>
      <x:c r="L81" s="82"/>
      <x:c r="M81" s="82"/>
      <x:c r="N81" s="83" t="str">
        <x:f>IF($A81="","",IF(OR($K81="",$L81="",$M81="") ,"",SUM($K81:$L81)+6-$M81))</x:f>
      </x:c>
      <x:c r="O81" s="83" t="str">
        <x:f>IF($A81="","",IF(COUNTIFS('Gate Checklist'!$A$5:$A$204,$A81,'Gate Checklist'!$B$5:$B$204,0,'Gate Checklist'!$D$5:$D$204,"Fail")+COUNTIFS('Gate Checklist'!$A$5:$A$204,$A81,'Gate Checklist'!$B$5:$B$204,1,'Gate Checklist'!$D$5:$D$204,"Fail")&gt;0,"BLOCKED",IF(AND(COUNTIFS('Gate Checklist'!$A$5:$A$204,$A81,'Gate Checklist'!$B$5:$B$204,0,'Gate Checklist'!$D$5:$D$204,"Pass")&gt;0,COUNTIFS('Gate Checklist'!$A$5:$A$204,$A81,'Gate Checklist'!$B$5:$B$204,1,'Gate Checklist'!$D$5:$D$204,"Pass")&gt;0),IF($P81="Ready for mapping","READY FOR MAPPING",IF($P81="Ready with remediation","READY WITH REMEDIATION",IF($P81="Deferred","DEFERRED","DISPOSITION REQUIRED"))),IF(COUNTIFS('Gate Checklist'!$A$5:$A$204,$A81,'Gate Checklist'!$B$5:$B$204,0,'Gate Checklist'!$D$5:$D$204,"Pass")+COUNTIFS('Gate Checklist'!$A$5:$A$204,$A81,'Gate Checklist'!$B$5:$B$204,1,'Gate Checklist'!$D$5:$D$204,"Pass")&gt;0,"IN PROGRESS","NOT ASSESSED"))))</x:f>
      </x:c>
      <x:c r="P81" s="82"/>
      <x:c r="Q81" s="82"/>
      <x:c r="R81" s="83"/>
      <x:c r="S81" s="82"/>
    </x:row>
    <x:row r="82">
      <x:c r="K82" s="82"/>
      <x:c r="L82" s="82"/>
      <x:c r="M82" s="82"/>
      <x:c r="N82" s="83" t="str">
        <x:f>IF($A82="","",IF(OR($K82="",$L82="",$M82="") ,"",SUM($K82:$L82)+6-$M82))</x:f>
      </x:c>
      <x:c r="O82" s="83" t="str">
        <x:f>IF($A82="","",IF(COUNTIFS('Gate Checklist'!$A$5:$A$204,$A82,'Gate Checklist'!$B$5:$B$204,0,'Gate Checklist'!$D$5:$D$204,"Fail")+COUNTIFS('Gate Checklist'!$A$5:$A$204,$A82,'Gate Checklist'!$B$5:$B$204,1,'Gate Checklist'!$D$5:$D$204,"Fail")&gt;0,"BLOCKED",IF(AND(COUNTIFS('Gate Checklist'!$A$5:$A$204,$A82,'Gate Checklist'!$B$5:$B$204,0,'Gate Checklist'!$D$5:$D$204,"Pass")&gt;0,COUNTIFS('Gate Checklist'!$A$5:$A$204,$A82,'Gate Checklist'!$B$5:$B$204,1,'Gate Checklist'!$D$5:$D$204,"Pass")&gt;0),IF($P82="Ready for mapping","READY FOR MAPPING",IF($P82="Ready with remediation","READY WITH REMEDIATION",IF($P82="Deferred","DEFERRED","DISPOSITION REQUIRED"))),IF(COUNTIFS('Gate Checklist'!$A$5:$A$204,$A82,'Gate Checklist'!$B$5:$B$204,0,'Gate Checklist'!$D$5:$D$204,"Pass")+COUNTIFS('Gate Checklist'!$A$5:$A$204,$A82,'Gate Checklist'!$B$5:$B$204,1,'Gate Checklist'!$D$5:$D$204,"Pass")&gt;0,"IN PROGRESS","NOT ASSESSED"))))</x:f>
      </x:c>
      <x:c r="P82" s="82"/>
      <x:c r="Q82" s="82"/>
      <x:c r="R82" s="83"/>
      <x:c r="S82" s="82"/>
    </x:row>
    <x:row r="83">
      <x:c r="K83" s="82"/>
      <x:c r="L83" s="82"/>
      <x:c r="M83" s="82"/>
      <x:c r="N83" s="83" t="str">
        <x:f>IF($A83="","",IF(OR($K83="",$L83="",$M83="") ,"",SUM($K83:$L83)+6-$M83))</x:f>
      </x:c>
      <x:c r="O83" s="83" t="str">
        <x:f>IF($A83="","",IF(COUNTIFS('Gate Checklist'!$A$5:$A$204,$A83,'Gate Checklist'!$B$5:$B$204,0,'Gate Checklist'!$D$5:$D$204,"Fail")+COUNTIFS('Gate Checklist'!$A$5:$A$204,$A83,'Gate Checklist'!$B$5:$B$204,1,'Gate Checklist'!$D$5:$D$204,"Fail")&gt;0,"BLOCKED",IF(AND(COUNTIFS('Gate Checklist'!$A$5:$A$204,$A83,'Gate Checklist'!$B$5:$B$204,0,'Gate Checklist'!$D$5:$D$204,"Pass")&gt;0,COUNTIFS('Gate Checklist'!$A$5:$A$204,$A83,'Gate Checklist'!$B$5:$B$204,1,'Gate Checklist'!$D$5:$D$204,"Pass")&gt;0),IF($P83="Ready for mapping","READY FOR MAPPING",IF($P83="Ready with remediation","READY WITH REMEDIATION",IF($P83="Deferred","DEFERRED","DISPOSITION REQUIRED"))),IF(COUNTIFS('Gate Checklist'!$A$5:$A$204,$A83,'Gate Checklist'!$B$5:$B$204,0,'Gate Checklist'!$D$5:$D$204,"Pass")+COUNTIFS('Gate Checklist'!$A$5:$A$204,$A83,'Gate Checklist'!$B$5:$B$204,1,'Gate Checklist'!$D$5:$D$204,"Pass")&gt;0,"IN PROGRESS","NOT ASSESSED"))))</x:f>
      </x:c>
      <x:c r="P83" s="82"/>
      <x:c r="Q83" s="82"/>
      <x:c r="R83" s="83"/>
      <x:c r="S83" s="82"/>
    </x:row>
    <x:row r="84">
      <x:c r="K84" s="82"/>
      <x:c r="L84" s="82"/>
      <x:c r="M84" s="82"/>
      <x:c r="N84" s="83" t="str">
        <x:f>IF($A84="","",IF(OR($K84="",$L84="",$M84="") ,"",SUM($K84:$L84)+6-$M84))</x:f>
      </x:c>
      <x:c r="O84" s="83" t="str">
        <x:f>IF($A84="","",IF(COUNTIFS('Gate Checklist'!$A$5:$A$204,$A84,'Gate Checklist'!$B$5:$B$204,0,'Gate Checklist'!$D$5:$D$204,"Fail")+COUNTIFS('Gate Checklist'!$A$5:$A$204,$A84,'Gate Checklist'!$B$5:$B$204,1,'Gate Checklist'!$D$5:$D$204,"Fail")&gt;0,"BLOCKED",IF(AND(COUNTIFS('Gate Checklist'!$A$5:$A$204,$A84,'Gate Checklist'!$B$5:$B$204,0,'Gate Checklist'!$D$5:$D$204,"Pass")&gt;0,COUNTIFS('Gate Checklist'!$A$5:$A$204,$A84,'Gate Checklist'!$B$5:$B$204,1,'Gate Checklist'!$D$5:$D$204,"Pass")&gt;0),IF($P84="Ready for mapping","READY FOR MAPPING",IF($P84="Ready with remediation","READY WITH REMEDIATION",IF($P84="Deferred","DEFERRED","DISPOSITION REQUIRED"))),IF(COUNTIFS('Gate Checklist'!$A$5:$A$204,$A84,'Gate Checklist'!$B$5:$B$204,0,'Gate Checklist'!$D$5:$D$204,"Pass")+COUNTIFS('Gate Checklist'!$A$5:$A$204,$A84,'Gate Checklist'!$B$5:$B$204,1,'Gate Checklist'!$D$5:$D$204,"Pass")&gt;0,"IN PROGRESS","NOT ASSESSED"))))</x:f>
      </x:c>
      <x:c r="P84" s="82"/>
      <x:c r="Q84" s="82"/>
      <x:c r="R84" s="83"/>
      <x:c r="S84" s="82"/>
    </x:row>
    <x:row r="85">
      <x:c r="K85" s="82"/>
      <x:c r="L85" s="82"/>
      <x:c r="M85" s="82"/>
      <x:c r="N85" s="83" t="str">
        <x:f>IF($A85="","",IF(OR($K85="",$L85="",$M85="") ,"",SUM($K85:$L85)+6-$M85))</x:f>
      </x:c>
      <x:c r="O85" s="83" t="str">
        <x:f>IF($A85="","",IF(COUNTIFS('Gate Checklist'!$A$5:$A$204,$A85,'Gate Checklist'!$B$5:$B$204,0,'Gate Checklist'!$D$5:$D$204,"Fail")+COUNTIFS('Gate Checklist'!$A$5:$A$204,$A85,'Gate Checklist'!$B$5:$B$204,1,'Gate Checklist'!$D$5:$D$204,"Fail")&gt;0,"BLOCKED",IF(AND(COUNTIFS('Gate Checklist'!$A$5:$A$204,$A85,'Gate Checklist'!$B$5:$B$204,0,'Gate Checklist'!$D$5:$D$204,"Pass")&gt;0,COUNTIFS('Gate Checklist'!$A$5:$A$204,$A85,'Gate Checklist'!$B$5:$B$204,1,'Gate Checklist'!$D$5:$D$204,"Pass")&gt;0),IF($P85="Ready for mapping","READY FOR MAPPING",IF($P85="Ready with remediation","READY WITH REMEDIATION",IF($P85="Deferred","DEFERRED","DISPOSITION REQUIRED"))),IF(COUNTIFS('Gate Checklist'!$A$5:$A$204,$A85,'Gate Checklist'!$B$5:$B$204,0,'Gate Checklist'!$D$5:$D$204,"Pass")+COUNTIFS('Gate Checklist'!$A$5:$A$204,$A85,'Gate Checklist'!$B$5:$B$204,1,'Gate Checklist'!$D$5:$D$204,"Pass")&gt;0,"IN PROGRESS","NOT ASSESSED"))))</x:f>
      </x:c>
      <x:c r="P85" s="82"/>
      <x:c r="Q85" s="82"/>
      <x:c r="R85" s="83"/>
      <x:c r="S85" s="82"/>
    </x:row>
    <x:row r="86">
      <x:c r="K86" s="82"/>
      <x:c r="L86" s="82"/>
      <x:c r="M86" s="82"/>
      <x:c r="N86" s="83" t="str">
        <x:f>IF($A86="","",IF(OR($K86="",$L86="",$M86="") ,"",SUM($K86:$L86)+6-$M86))</x:f>
      </x:c>
      <x:c r="O86" s="83" t="str">
        <x:f>IF($A86="","",IF(COUNTIFS('Gate Checklist'!$A$5:$A$204,$A86,'Gate Checklist'!$B$5:$B$204,0,'Gate Checklist'!$D$5:$D$204,"Fail")+COUNTIFS('Gate Checklist'!$A$5:$A$204,$A86,'Gate Checklist'!$B$5:$B$204,1,'Gate Checklist'!$D$5:$D$204,"Fail")&gt;0,"BLOCKED",IF(AND(COUNTIFS('Gate Checklist'!$A$5:$A$204,$A86,'Gate Checklist'!$B$5:$B$204,0,'Gate Checklist'!$D$5:$D$204,"Pass")&gt;0,COUNTIFS('Gate Checklist'!$A$5:$A$204,$A86,'Gate Checklist'!$B$5:$B$204,1,'Gate Checklist'!$D$5:$D$204,"Pass")&gt;0),IF($P86="Ready for mapping","READY FOR MAPPING",IF($P86="Ready with remediation","READY WITH REMEDIATION",IF($P86="Deferred","DEFERRED","DISPOSITION REQUIRED"))),IF(COUNTIFS('Gate Checklist'!$A$5:$A$204,$A86,'Gate Checklist'!$B$5:$B$204,0,'Gate Checklist'!$D$5:$D$204,"Pass")+COUNTIFS('Gate Checklist'!$A$5:$A$204,$A86,'Gate Checklist'!$B$5:$B$204,1,'Gate Checklist'!$D$5:$D$204,"Pass")&gt;0,"IN PROGRESS","NOT ASSESSED"))))</x:f>
      </x:c>
      <x:c r="P86" s="82"/>
      <x:c r="Q86" s="82"/>
      <x:c r="R86" s="83"/>
      <x:c r="S86" s="82"/>
    </x:row>
    <x:row r="87">
      <x:c r="K87" s="82"/>
      <x:c r="L87" s="82"/>
      <x:c r="M87" s="82"/>
      <x:c r="N87" s="83" t="str">
        <x:f>IF($A87="","",IF(OR($K87="",$L87="",$M87="") ,"",SUM($K87:$L87)+6-$M87))</x:f>
      </x:c>
      <x:c r="O87" s="83" t="str">
        <x:f>IF($A87="","",IF(COUNTIFS('Gate Checklist'!$A$5:$A$204,$A87,'Gate Checklist'!$B$5:$B$204,0,'Gate Checklist'!$D$5:$D$204,"Fail")+COUNTIFS('Gate Checklist'!$A$5:$A$204,$A87,'Gate Checklist'!$B$5:$B$204,1,'Gate Checklist'!$D$5:$D$204,"Fail")&gt;0,"BLOCKED",IF(AND(COUNTIFS('Gate Checklist'!$A$5:$A$204,$A87,'Gate Checklist'!$B$5:$B$204,0,'Gate Checklist'!$D$5:$D$204,"Pass")&gt;0,COUNTIFS('Gate Checklist'!$A$5:$A$204,$A87,'Gate Checklist'!$B$5:$B$204,1,'Gate Checklist'!$D$5:$D$204,"Pass")&gt;0),IF($P87="Ready for mapping","READY FOR MAPPING",IF($P87="Ready with remediation","READY WITH REMEDIATION",IF($P87="Deferred","DEFERRED","DISPOSITION REQUIRED"))),IF(COUNTIFS('Gate Checklist'!$A$5:$A$204,$A87,'Gate Checklist'!$B$5:$B$204,0,'Gate Checklist'!$D$5:$D$204,"Pass")+COUNTIFS('Gate Checklist'!$A$5:$A$204,$A87,'Gate Checklist'!$B$5:$B$204,1,'Gate Checklist'!$D$5:$D$204,"Pass")&gt;0,"IN PROGRESS","NOT ASSESSED"))))</x:f>
      </x:c>
      <x:c r="P87" s="82"/>
      <x:c r="Q87" s="82"/>
      <x:c r="R87" s="83"/>
      <x:c r="S87" s="82"/>
    </x:row>
    <x:row r="88">
      <x:c r="K88" s="82"/>
      <x:c r="L88" s="82"/>
      <x:c r="M88" s="82"/>
      <x:c r="N88" s="83" t="str">
        <x:f>IF($A88="","",IF(OR($K88="",$L88="",$M88="") ,"",SUM($K88:$L88)+6-$M88))</x:f>
      </x:c>
      <x:c r="O88" s="83" t="str">
        <x:f>IF($A88="","",IF(COUNTIFS('Gate Checklist'!$A$5:$A$204,$A88,'Gate Checklist'!$B$5:$B$204,0,'Gate Checklist'!$D$5:$D$204,"Fail")+COUNTIFS('Gate Checklist'!$A$5:$A$204,$A88,'Gate Checklist'!$B$5:$B$204,1,'Gate Checklist'!$D$5:$D$204,"Fail")&gt;0,"BLOCKED",IF(AND(COUNTIFS('Gate Checklist'!$A$5:$A$204,$A88,'Gate Checklist'!$B$5:$B$204,0,'Gate Checklist'!$D$5:$D$204,"Pass")&gt;0,COUNTIFS('Gate Checklist'!$A$5:$A$204,$A88,'Gate Checklist'!$B$5:$B$204,1,'Gate Checklist'!$D$5:$D$204,"Pass")&gt;0),IF($P88="Ready for mapping","READY FOR MAPPING",IF($P88="Ready with remediation","READY WITH REMEDIATION",IF($P88="Deferred","DEFERRED","DISPOSITION REQUIRED"))),IF(COUNTIFS('Gate Checklist'!$A$5:$A$204,$A88,'Gate Checklist'!$B$5:$B$204,0,'Gate Checklist'!$D$5:$D$204,"Pass")+COUNTIFS('Gate Checklist'!$A$5:$A$204,$A88,'Gate Checklist'!$B$5:$B$204,1,'Gate Checklist'!$D$5:$D$204,"Pass")&gt;0,"IN PROGRESS","NOT ASSESSED"))))</x:f>
      </x:c>
      <x:c r="P88" s="82"/>
      <x:c r="Q88" s="82"/>
      <x:c r="R88" s="83"/>
      <x:c r="S88" s="82"/>
    </x:row>
    <x:row r="89">
      <x:c r="K89" s="82"/>
      <x:c r="L89" s="82"/>
      <x:c r="M89" s="82"/>
      <x:c r="N89" s="83" t="str">
        <x:f>IF($A89="","",IF(OR($K89="",$L89="",$M89="") ,"",SUM($K89:$L89)+6-$M89))</x:f>
      </x:c>
      <x:c r="O89" s="83" t="str">
        <x:f>IF($A89="","",IF(COUNTIFS('Gate Checklist'!$A$5:$A$204,$A89,'Gate Checklist'!$B$5:$B$204,0,'Gate Checklist'!$D$5:$D$204,"Fail")+COUNTIFS('Gate Checklist'!$A$5:$A$204,$A89,'Gate Checklist'!$B$5:$B$204,1,'Gate Checklist'!$D$5:$D$204,"Fail")&gt;0,"BLOCKED",IF(AND(COUNTIFS('Gate Checklist'!$A$5:$A$204,$A89,'Gate Checklist'!$B$5:$B$204,0,'Gate Checklist'!$D$5:$D$204,"Pass")&gt;0,COUNTIFS('Gate Checklist'!$A$5:$A$204,$A89,'Gate Checklist'!$B$5:$B$204,1,'Gate Checklist'!$D$5:$D$204,"Pass")&gt;0),IF($P89="Ready for mapping","READY FOR MAPPING",IF($P89="Ready with remediation","READY WITH REMEDIATION",IF($P89="Deferred","DEFERRED","DISPOSITION REQUIRED"))),IF(COUNTIFS('Gate Checklist'!$A$5:$A$204,$A89,'Gate Checklist'!$B$5:$B$204,0,'Gate Checklist'!$D$5:$D$204,"Pass")+COUNTIFS('Gate Checklist'!$A$5:$A$204,$A89,'Gate Checklist'!$B$5:$B$204,1,'Gate Checklist'!$D$5:$D$204,"Pass")&gt;0,"IN PROGRESS","NOT ASSESSED"))))</x:f>
      </x:c>
      <x:c r="P89" s="82"/>
      <x:c r="Q89" s="82"/>
      <x:c r="R89" s="83"/>
      <x:c r="S89" s="82"/>
    </x:row>
    <x:row r="90">
      <x:c r="K90" s="82"/>
      <x:c r="L90" s="82"/>
      <x:c r="M90" s="82"/>
      <x:c r="N90" s="83" t="str">
        <x:f>IF($A90="","",IF(OR($K90="",$L90="",$M90="") ,"",SUM($K90:$L90)+6-$M90))</x:f>
      </x:c>
      <x:c r="O90" s="83" t="str">
        <x:f>IF($A90="","",IF(COUNTIFS('Gate Checklist'!$A$5:$A$204,$A90,'Gate Checklist'!$B$5:$B$204,0,'Gate Checklist'!$D$5:$D$204,"Fail")+COUNTIFS('Gate Checklist'!$A$5:$A$204,$A90,'Gate Checklist'!$B$5:$B$204,1,'Gate Checklist'!$D$5:$D$204,"Fail")&gt;0,"BLOCKED",IF(AND(COUNTIFS('Gate Checklist'!$A$5:$A$204,$A90,'Gate Checklist'!$B$5:$B$204,0,'Gate Checklist'!$D$5:$D$204,"Pass")&gt;0,COUNTIFS('Gate Checklist'!$A$5:$A$204,$A90,'Gate Checklist'!$B$5:$B$204,1,'Gate Checklist'!$D$5:$D$204,"Pass")&gt;0),IF($P90="Ready for mapping","READY FOR MAPPING",IF($P90="Ready with remediation","READY WITH REMEDIATION",IF($P90="Deferred","DEFERRED","DISPOSITION REQUIRED"))),IF(COUNTIFS('Gate Checklist'!$A$5:$A$204,$A90,'Gate Checklist'!$B$5:$B$204,0,'Gate Checklist'!$D$5:$D$204,"Pass")+COUNTIFS('Gate Checklist'!$A$5:$A$204,$A90,'Gate Checklist'!$B$5:$B$204,1,'Gate Checklist'!$D$5:$D$204,"Pass")&gt;0,"IN PROGRESS","NOT ASSESSED"))))</x:f>
      </x:c>
      <x:c r="P90" s="82"/>
      <x:c r="Q90" s="82"/>
      <x:c r="R90" s="83"/>
      <x:c r="S90" s="82"/>
    </x:row>
    <x:row r="91">
      <x:c r="K91" s="82"/>
      <x:c r="L91" s="82"/>
      <x:c r="M91" s="82"/>
      <x:c r="N91" s="83" t="str">
        <x:f>IF($A91="","",IF(OR($K91="",$L91="",$M91="") ,"",SUM($K91:$L91)+6-$M91))</x:f>
      </x:c>
      <x:c r="O91" s="83" t="str">
        <x:f>IF($A91="","",IF(COUNTIFS('Gate Checklist'!$A$5:$A$204,$A91,'Gate Checklist'!$B$5:$B$204,0,'Gate Checklist'!$D$5:$D$204,"Fail")+COUNTIFS('Gate Checklist'!$A$5:$A$204,$A91,'Gate Checklist'!$B$5:$B$204,1,'Gate Checklist'!$D$5:$D$204,"Fail")&gt;0,"BLOCKED",IF(AND(COUNTIFS('Gate Checklist'!$A$5:$A$204,$A91,'Gate Checklist'!$B$5:$B$204,0,'Gate Checklist'!$D$5:$D$204,"Pass")&gt;0,COUNTIFS('Gate Checklist'!$A$5:$A$204,$A91,'Gate Checklist'!$B$5:$B$204,1,'Gate Checklist'!$D$5:$D$204,"Pass")&gt;0),IF($P91="Ready for mapping","READY FOR MAPPING",IF($P91="Ready with remediation","READY WITH REMEDIATION",IF($P91="Deferred","DEFERRED","DISPOSITION REQUIRED"))),IF(COUNTIFS('Gate Checklist'!$A$5:$A$204,$A91,'Gate Checklist'!$B$5:$B$204,0,'Gate Checklist'!$D$5:$D$204,"Pass")+COUNTIFS('Gate Checklist'!$A$5:$A$204,$A91,'Gate Checklist'!$B$5:$B$204,1,'Gate Checklist'!$D$5:$D$204,"Pass")&gt;0,"IN PROGRESS","NOT ASSESSED"))))</x:f>
      </x:c>
      <x:c r="P91" s="82"/>
      <x:c r="Q91" s="82"/>
      <x:c r="R91" s="83"/>
      <x:c r="S91" s="82"/>
    </x:row>
    <x:row r="92">
      <x:c r="K92" s="82"/>
      <x:c r="L92" s="82"/>
      <x:c r="M92" s="82"/>
      <x:c r="N92" s="83" t="str">
        <x:f>IF($A92="","",IF(OR($K92="",$L92="",$M92="") ,"",SUM($K92:$L92)+6-$M92))</x:f>
      </x:c>
      <x:c r="O92" s="83" t="str">
        <x:f>IF($A92="","",IF(COUNTIFS('Gate Checklist'!$A$5:$A$204,$A92,'Gate Checklist'!$B$5:$B$204,0,'Gate Checklist'!$D$5:$D$204,"Fail")+COUNTIFS('Gate Checklist'!$A$5:$A$204,$A92,'Gate Checklist'!$B$5:$B$204,1,'Gate Checklist'!$D$5:$D$204,"Fail")&gt;0,"BLOCKED",IF(AND(COUNTIFS('Gate Checklist'!$A$5:$A$204,$A92,'Gate Checklist'!$B$5:$B$204,0,'Gate Checklist'!$D$5:$D$204,"Pass")&gt;0,COUNTIFS('Gate Checklist'!$A$5:$A$204,$A92,'Gate Checklist'!$B$5:$B$204,1,'Gate Checklist'!$D$5:$D$204,"Pass")&gt;0),IF($P92="Ready for mapping","READY FOR MAPPING",IF($P92="Ready with remediation","READY WITH REMEDIATION",IF($P92="Deferred","DEFERRED","DISPOSITION REQUIRED"))),IF(COUNTIFS('Gate Checklist'!$A$5:$A$204,$A92,'Gate Checklist'!$B$5:$B$204,0,'Gate Checklist'!$D$5:$D$204,"Pass")+COUNTIFS('Gate Checklist'!$A$5:$A$204,$A92,'Gate Checklist'!$B$5:$B$204,1,'Gate Checklist'!$D$5:$D$204,"Pass")&gt;0,"IN PROGRESS","NOT ASSESSED"))))</x:f>
      </x:c>
      <x:c r="P92" s="82"/>
      <x:c r="Q92" s="82"/>
      <x:c r="R92" s="83"/>
      <x:c r="S92" s="82"/>
    </x:row>
    <x:row r="93">
      <x:c r="K93" s="82"/>
      <x:c r="L93" s="82"/>
      <x:c r="M93" s="82"/>
      <x:c r="N93" s="83" t="str">
        <x:f>IF($A93="","",IF(OR($K93="",$L93="",$M93="") ,"",SUM($K93:$L93)+6-$M93))</x:f>
      </x:c>
      <x:c r="O93" s="83" t="str">
        <x:f>IF($A93="","",IF(COUNTIFS('Gate Checklist'!$A$5:$A$204,$A93,'Gate Checklist'!$B$5:$B$204,0,'Gate Checklist'!$D$5:$D$204,"Fail")+COUNTIFS('Gate Checklist'!$A$5:$A$204,$A93,'Gate Checklist'!$B$5:$B$204,1,'Gate Checklist'!$D$5:$D$204,"Fail")&gt;0,"BLOCKED",IF(AND(COUNTIFS('Gate Checklist'!$A$5:$A$204,$A93,'Gate Checklist'!$B$5:$B$204,0,'Gate Checklist'!$D$5:$D$204,"Pass")&gt;0,COUNTIFS('Gate Checklist'!$A$5:$A$204,$A93,'Gate Checklist'!$B$5:$B$204,1,'Gate Checklist'!$D$5:$D$204,"Pass")&gt;0),IF($P93="Ready for mapping","READY FOR MAPPING",IF($P93="Ready with remediation","READY WITH REMEDIATION",IF($P93="Deferred","DEFERRED","DISPOSITION REQUIRED"))),IF(COUNTIFS('Gate Checklist'!$A$5:$A$204,$A93,'Gate Checklist'!$B$5:$B$204,0,'Gate Checklist'!$D$5:$D$204,"Pass")+COUNTIFS('Gate Checklist'!$A$5:$A$204,$A93,'Gate Checklist'!$B$5:$B$204,1,'Gate Checklist'!$D$5:$D$204,"Pass")&gt;0,"IN PROGRESS","NOT ASSESSED"))))</x:f>
      </x:c>
      <x:c r="P93" s="82"/>
      <x:c r="Q93" s="82"/>
      <x:c r="R93" s="83"/>
      <x:c r="S93" s="82"/>
    </x:row>
    <x:row r="94">
      <x:c r="K94" s="82"/>
      <x:c r="L94" s="82"/>
      <x:c r="M94" s="82"/>
      <x:c r="N94" s="83" t="str">
        <x:f>IF($A94="","",IF(OR($K94="",$L94="",$M94="") ,"",SUM($K94:$L94)+6-$M94))</x:f>
      </x:c>
      <x:c r="O94" s="83" t="str">
        <x:f>IF($A94="","",IF(COUNTIFS('Gate Checklist'!$A$5:$A$204,$A94,'Gate Checklist'!$B$5:$B$204,0,'Gate Checklist'!$D$5:$D$204,"Fail")+COUNTIFS('Gate Checklist'!$A$5:$A$204,$A94,'Gate Checklist'!$B$5:$B$204,1,'Gate Checklist'!$D$5:$D$204,"Fail")&gt;0,"BLOCKED",IF(AND(COUNTIFS('Gate Checklist'!$A$5:$A$204,$A94,'Gate Checklist'!$B$5:$B$204,0,'Gate Checklist'!$D$5:$D$204,"Pass")&gt;0,COUNTIFS('Gate Checklist'!$A$5:$A$204,$A94,'Gate Checklist'!$B$5:$B$204,1,'Gate Checklist'!$D$5:$D$204,"Pass")&gt;0),IF($P94="Ready for mapping","READY FOR MAPPING",IF($P94="Ready with remediation","READY WITH REMEDIATION",IF($P94="Deferred","DEFERRED","DISPOSITION REQUIRED"))),IF(COUNTIFS('Gate Checklist'!$A$5:$A$204,$A94,'Gate Checklist'!$B$5:$B$204,0,'Gate Checklist'!$D$5:$D$204,"Pass")+COUNTIFS('Gate Checklist'!$A$5:$A$204,$A94,'Gate Checklist'!$B$5:$B$204,1,'Gate Checklist'!$D$5:$D$204,"Pass")&gt;0,"IN PROGRESS","NOT ASSESSED"))))</x:f>
      </x:c>
      <x:c r="P94" s="82"/>
      <x:c r="Q94" s="82"/>
      <x:c r="R94" s="83"/>
      <x:c r="S94" s="82"/>
    </x:row>
    <x:row r="95">
      <x:c r="K95" s="82"/>
      <x:c r="L95" s="82"/>
      <x:c r="M95" s="82"/>
      <x:c r="N95" s="83" t="str">
        <x:f>IF($A95="","",IF(OR($K95="",$L95="",$M95="") ,"",SUM($K95:$L95)+6-$M95))</x:f>
      </x:c>
      <x:c r="O95" s="83" t="str">
        <x:f>IF($A95="","",IF(COUNTIFS('Gate Checklist'!$A$5:$A$204,$A95,'Gate Checklist'!$B$5:$B$204,0,'Gate Checklist'!$D$5:$D$204,"Fail")+COUNTIFS('Gate Checklist'!$A$5:$A$204,$A95,'Gate Checklist'!$B$5:$B$204,1,'Gate Checklist'!$D$5:$D$204,"Fail")&gt;0,"BLOCKED",IF(AND(COUNTIFS('Gate Checklist'!$A$5:$A$204,$A95,'Gate Checklist'!$B$5:$B$204,0,'Gate Checklist'!$D$5:$D$204,"Pass")&gt;0,COUNTIFS('Gate Checklist'!$A$5:$A$204,$A95,'Gate Checklist'!$B$5:$B$204,1,'Gate Checklist'!$D$5:$D$204,"Pass")&gt;0),IF($P95="Ready for mapping","READY FOR MAPPING",IF($P95="Ready with remediation","READY WITH REMEDIATION",IF($P95="Deferred","DEFERRED","DISPOSITION REQUIRED"))),IF(COUNTIFS('Gate Checklist'!$A$5:$A$204,$A95,'Gate Checklist'!$B$5:$B$204,0,'Gate Checklist'!$D$5:$D$204,"Pass")+COUNTIFS('Gate Checklist'!$A$5:$A$204,$A95,'Gate Checklist'!$B$5:$B$204,1,'Gate Checklist'!$D$5:$D$204,"Pass")&gt;0,"IN PROGRESS","NOT ASSESSED"))))</x:f>
      </x:c>
      <x:c r="P95" s="82"/>
      <x:c r="Q95" s="82"/>
      <x:c r="R95" s="83"/>
      <x:c r="S95" s="82"/>
    </x:row>
    <x:row r="96">
      <x:c r="K96" s="82"/>
      <x:c r="L96" s="82"/>
      <x:c r="M96" s="82"/>
      <x:c r="N96" s="83" t="str">
        <x:f>IF($A96="","",IF(OR($K96="",$L96="",$M96="") ,"",SUM($K96:$L96)+6-$M96))</x:f>
      </x:c>
      <x:c r="O96" s="83" t="str">
        <x:f>IF($A96="","",IF(COUNTIFS('Gate Checklist'!$A$5:$A$204,$A96,'Gate Checklist'!$B$5:$B$204,0,'Gate Checklist'!$D$5:$D$204,"Fail")+COUNTIFS('Gate Checklist'!$A$5:$A$204,$A96,'Gate Checklist'!$B$5:$B$204,1,'Gate Checklist'!$D$5:$D$204,"Fail")&gt;0,"BLOCKED",IF(AND(COUNTIFS('Gate Checklist'!$A$5:$A$204,$A96,'Gate Checklist'!$B$5:$B$204,0,'Gate Checklist'!$D$5:$D$204,"Pass")&gt;0,COUNTIFS('Gate Checklist'!$A$5:$A$204,$A96,'Gate Checklist'!$B$5:$B$204,1,'Gate Checklist'!$D$5:$D$204,"Pass")&gt;0),IF($P96="Ready for mapping","READY FOR MAPPING",IF($P96="Ready with remediation","READY WITH REMEDIATION",IF($P96="Deferred","DEFERRED","DISPOSITION REQUIRED"))),IF(COUNTIFS('Gate Checklist'!$A$5:$A$204,$A96,'Gate Checklist'!$B$5:$B$204,0,'Gate Checklist'!$D$5:$D$204,"Pass")+COUNTIFS('Gate Checklist'!$A$5:$A$204,$A96,'Gate Checklist'!$B$5:$B$204,1,'Gate Checklist'!$D$5:$D$204,"Pass")&gt;0,"IN PROGRESS","NOT ASSESSED"))))</x:f>
      </x:c>
      <x:c r="P96" s="82"/>
      <x:c r="Q96" s="82"/>
      <x:c r="R96" s="83"/>
      <x:c r="S96" s="82"/>
    </x:row>
    <x:row r="97">
      <x:c r="K97" s="82"/>
      <x:c r="L97" s="82"/>
      <x:c r="M97" s="82"/>
      <x:c r="N97" s="83" t="str">
        <x:f>IF($A97="","",IF(OR($K97="",$L97="",$M97="") ,"",SUM($K97:$L97)+6-$M97))</x:f>
      </x:c>
      <x:c r="O97" s="83" t="str">
        <x:f>IF($A97="","",IF(COUNTIFS('Gate Checklist'!$A$5:$A$204,$A97,'Gate Checklist'!$B$5:$B$204,0,'Gate Checklist'!$D$5:$D$204,"Fail")+COUNTIFS('Gate Checklist'!$A$5:$A$204,$A97,'Gate Checklist'!$B$5:$B$204,1,'Gate Checklist'!$D$5:$D$204,"Fail")&gt;0,"BLOCKED",IF(AND(COUNTIFS('Gate Checklist'!$A$5:$A$204,$A97,'Gate Checklist'!$B$5:$B$204,0,'Gate Checklist'!$D$5:$D$204,"Pass")&gt;0,COUNTIFS('Gate Checklist'!$A$5:$A$204,$A97,'Gate Checklist'!$B$5:$B$204,1,'Gate Checklist'!$D$5:$D$204,"Pass")&gt;0),IF($P97="Ready for mapping","READY FOR MAPPING",IF($P97="Ready with remediation","READY WITH REMEDIATION",IF($P97="Deferred","DEFERRED","DISPOSITION REQUIRED"))),IF(COUNTIFS('Gate Checklist'!$A$5:$A$204,$A97,'Gate Checklist'!$B$5:$B$204,0,'Gate Checklist'!$D$5:$D$204,"Pass")+COUNTIFS('Gate Checklist'!$A$5:$A$204,$A97,'Gate Checklist'!$B$5:$B$204,1,'Gate Checklist'!$D$5:$D$204,"Pass")&gt;0,"IN PROGRESS","NOT ASSESSED"))))</x:f>
      </x:c>
      <x:c r="P97" s="82"/>
      <x:c r="Q97" s="82"/>
      <x:c r="R97" s="83"/>
      <x:c r="S97" s="82"/>
    </x:row>
    <x:row r="98">
      <x:c r="K98" s="82"/>
      <x:c r="L98" s="82"/>
      <x:c r="M98" s="82"/>
      <x:c r="N98" s="83" t="str">
        <x:f>IF($A98="","",IF(OR($K98="",$L98="",$M98="") ,"",SUM($K98:$L98)+6-$M98))</x:f>
      </x:c>
      <x:c r="O98" s="83" t="str">
        <x:f>IF($A98="","",IF(COUNTIFS('Gate Checklist'!$A$5:$A$204,$A98,'Gate Checklist'!$B$5:$B$204,0,'Gate Checklist'!$D$5:$D$204,"Fail")+COUNTIFS('Gate Checklist'!$A$5:$A$204,$A98,'Gate Checklist'!$B$5:$B$204,1,'Gate Checklist'!$D$5:$D$204,"Fail")&gt;0,"BLOCKED",IF(AND(COUNTIFS('Gate Checklist'!$A$5:$A$204,$A98,'Gate Checklist'!$B$5:$B$204,0,'Gate Checklist'!$D$5:$D$204,"Pass")&gt;0,COUNTIFS('Gate Checklist'!$A$5:$A$204,$A98,'Gate Checklist'!$B$5:$B$204,1,'Gate Checklist'!$D$5:$D$204,"Pass")&gt;0),IF($P98="Ready for mapping","READY FOR MAPPING",IF($P98="Ready with remediation","READY WITH REMEDIATION",IF($P98="Deferred","DEFERRED","DISPOSITION REQUIRED"))),IF(COUNTIFS('Gate Checklist'!$A$5:$A$204,$A98,'Gate Checklist'!$B$5:$B$204,0,'Gate Checklist'!$D$5:$D$204,"Pass")+COUNTIFS('Gate Checklist'!$A$5:$A$204,$A98,'Gate Checklist'!$B$5:$B$204,1,'Gate Checklist'!$D$5:$D$204,"Pass")&gt;0,"IN PROGRESS","NOT ASSESSED"))))</x:f>
      </x:c>
      <x:c r="P98" s="82"/>
      <x:c r="Q98" s="82"/>
      <x:c r="R98" s="83"/>
      <x:c r="S98" s="82"/>
    </x:row>
    <x:row r="99">
      <x:c r="K99" s="82"/>
      <x:c r="L99" s="82"/>
      <x:c r="M99" s="82"/>
      <x:c r="N99" s="83" t="str">
        <x:f>IF($A99="","",IF(OR($K99="",$L99="",$M99="") ,"",SUM($K99:$L99)+6-$M99))</x:f>
      </x:c>
      <x:c r="O99" s="83" t="str">
        <x:f>IF($A99="","",IF(COUNTIFS('Gate Checklist'!$A$5:$A$204,$A99,'Gate Checklist'!$B$5:$B$204,0,'Gate Checklist'!$D$5:$D$204,"Fail")+COUNTIFS('Gate Checklist'!$A$5:$A$204,$A99,'Gate Checklist'!$B$5:$B$204,1,'Gate Checklist'!$D$5:$D$204,"Fail")&gt;0,"BLOCKED",IF(AND(COUNTIFS('Gate Checklist'!$A$5:$A$204,$A99,'Gate Checklist'!$B$5:$B$204,0,'Gate Checklist'!$D$5:$D$204,"Pass")&gt;0,COUNTIFS('Gate Checklist'!$A$5:$A$204,$A99,'Gate Checklist'!$B$5:$B$204,1,'Gate Checklist'!$D$5:$D$204,"Pass")&gt;0),IF($P99="Ready for mapping","READY FOR MAPPING",IF($P99="Ready with remediation","READY WITH REMEDIATION",IF($P99="Deferred","DEFERRED","DISPOSITION REQUIRED"))),IF(COUNTIFS('Gate Checklist'!$A$5:$A$204,$A99,'Gate Checklist'!$B$5:$B$204,0,'Gate Checklist'!$D$5:$D$204,"Pass")+COUNTIFS('Gate Checklist'!$A$5:$A$204,$A99,'Gate Checklist'!$B$5:$B$204,1,'Gate Checklist'!$D$5:$D$204,"Pass")&gt;0,"IN PROGRESS","NOT ASSESSED"))))</x:f>
      </x:c>
      <x:c r="P99" s="82"/>
      <x:c r="Q99" s="82"/>
      <x:c r="R99" s="83"/>
      <x:c r="S99" s="82"/>
    </x:row>
    <x:row r="100">
      <x:c r="K100" s="82"/>
      <x:c r="L100" s="82"/>
      <x:c r="M100" s="82"/>
      <x:c r="N100" s="83" t="str">
        <x:f>IF($A100="","",IF(OR($K100="",$L100="",$M100="") ,"",SUM($K100:$L100)+6-$M100))</x:f>
      </x:c>
      <x:c r="O100" s="83" t="str">
        <x:f>IF($A100="","",IF(COUNTIFS('Gate Checklist'!$A$5:$A$204,$A100,'Gate Checklist'!$B$5:$B$204,0,'Gate Checklist'!$D$5:$D$204,"Fail")+COUNTIFS('Gate Checklist'!$A$5:$A$204,$A100,'Gate Checklist'!$B$5:$B$204,1,'Gate Checklist'!$D$5:$D$204,"Fail")&gt;0,"BLOCKED",IF(AND(COUNTIFS('Gate Checklist'!$A$5:$A$204,$A100,'Gate Checklist'!$B$5:$B$204,0,'Gate Checklist'!$D$5:$D$204,"Pass")&gt;0,COUNTIFS('Gate Checklist'!$A$5:$A$204,$A100,'Gate Checklist'!$B$5:$B$204,1,'Gate Checklist'!$D$5:$D$204,"Pass")&gt;0),IF($P100="Ready for mapping","READY FOR MAPPING",IF($P100="Ready with remediation","READY WITH REMEDIATION",IF($P100="Deferred","DEFERRED","DISPOSITION REQUIRED"))),IF(COUNTIFS('Gate Checklist'!$A$5:$A$204,$A100,'Gate Checklist'!$B$5:$B$204,0,'Gate Checklist'!$D$5:$D$204,"Pass")+COUNTIFS('Gate Checklist'!$A$5:$A$204,$A100,'Gate Checklist'!$B$5:$B$204,1,'Gate Checklist'!$D$5:$D$204,"Pass")&gt;0,"IN PROGRESS","NOT ASSESSED"))))</x:f>
      </x:c>
      <x:c r="P100" s="82"/>
      <x:c r="Q100" s="82"/>
      <x:c r="R100" s="83"/>
      <x:c r="S100" s="82"/>
    </x:row>
    <x:row r="101">
      <x:c r="K101" s="82"/>
      <x:c r="L101" s="82"/>
      <x:c r="M101" s="82"/>
      <x:c r="N101" s="83" t="str">
        <x:f>IF($A101="","",IF(OR($K101="",$L101="",$M101="") ,"",SUM($K101:$L101)+6-$M101))</x:f>
      </x:c>
      <x:c r="O101" s="83" t="str">
        <x:f>IF($A101="","",IF(COUNTIFS('Gate Checklist'!$A$5:$A$204,$A101,'Gate Checklist'!$B$5:$B$204,0,'Gate Checklist'!$D$5:$D$204,"Fail")+COUNTIFS('Gate Checklist'!$A$5:$A$204,$A101,'Gate Checklist'!$B$5:$B$204,1,'Gate Checklist'!$D$5:$D$204,"Fail")&gt;0,"BLOCKED",IF(AND(COUNTIFS('Gate Checklist'!$A$5:$A$204,$A101,'Gate Checklist'!$B$5:$B$204,0,'Gate Checklist'!$D$5:$D$204,"Pass")&gt;0,COUNTIFS('Gate Checklist'!$A$5:$A$204,$A101,'Gate Checklist'!$B$5:$B$204,1,'Gate Checklist'!$D$5:$D$204,"Pass")&gt;0),IF($P101="Ready for mapping","READY FOR MAPPING",IF($P101="Ready with remediation","READY WITH REMEDIATION",IF($P101="Deferred","DEFERRED","DISPOSITION REQUIRED"))),IF(COUNTIFS('Gate Checklist'!$A$5:$A$204,$A101,'Gate Checklist'!$B$5:$B$204,0,'Gate Checklist'!$D$5:$D$204,"Pass")+COUNTIFS('Gate Checklist'!$A$5:$A$204,$A101,'Gate Checklist'!$B$5:$B$204,1,'Gate Checklist'!$D$5:$D$204,"Pass")&gt;0,"IN PROGRESS","NOT ASSESSED"))))</x:f>
      </x:c>
      <x:c r="P101" s="82"/>
      <x:c r="Q101" s="82"/>
      <x:c r="R101" s="83"/>
      <x:c r="S101" s="82"/>
    </x:row>
    <x:row r="102">
      <x:c r="K102" s="82"/>
      <x:c r="L102" s="82"/>
      <x:c r="M102" s="82"/>
      <x:c r="N102" s="83" t="str">
        <x:f>IF($A102="","",IF(OR($K102="",$L102="",$M102="") ,"",SUM($K102:$L102)+6-$M102))</x:f>
      </x:c>
      <x:c r="O102" s="83" t="str">
        <x:f>IF($A102="","",IF(COUNTIFS('Gate Checklist'!$A$5:$A$204,$A102,'Gate Checklist'!$B$5:$B$204,0,'Gate Checklist'!$D$5:$D$204,"Fail")+COUNTIFS('Gate Checklist'!$A$5:$A$204,$A102,'Gate Checklist'!$B$5:$B$204,1,'Gate Checklist'!$D$5:$D$204,"Fail")&gt;0,"BLOCKED",IF(AND(COUNTIFS('Gate Checklist'!$A$5:$A$204,$A102,'Gate Checklist'!$B$5:$B$204,0,'Gate Checklist'!$D$5:$D$204,"Pass")&gt;0,COUNTIFS('Gate Checklist'!$A$5:$A$204,$A102,'Gate Checklist'!$B$5:$B$204,1,'Gate Checklist'!$D$5:$D$204,"Pass")&gt;0),IF($P102="Ready for mapping","READY FOR MAPPING",IF($P102="Ready with remediation","READY WITH REMEDIATION",IF($P102="Deferred","DEFERRED","DISPOSITION REQUIRED"))),IF(COUNTIFS('Gate Checklist'!$A$5:$A$204,$A102,'Gate Checklist'!$B$5:$B$204,0,'Gate Checklist'!$D$5:$D$204,"Pass")+COUNTIFS('Gate Checklist'!$A$5:$A$204,$A102,'Gate Checklist'!$B$5:$B$204,1,'Gate Checklist'!$D$5:$D$204,"Pass")&gt;0,"IN PROGRESS","NOT ASSESSED"))))</x:f>
      </x:c>
      <x:c r="P102" s="82"/>
      <x:c r="Q102" s="82"/>
      <x:c r="R102" s="83"/>
      <x:c r="S102" s="82"/>
    </x:row>
    <x:row r="103">
      <x:c r="K103" s="82"/>
      <x:c r="L103" s="82"/>
      <x:c r="M103" s="82"/>
      <x:c r="N103" s="83" t="str">
        <x:f>IF($A103="","",IF(OR($K103="",$L103="",$M103="") ,"",SUM($K103:$L103)+6-$M103))</x:f>
      </x:c>
      <x:c r="O103" s="83" t="str">
        <x:f>IF($A103="","",IF(COUNTIFS('Gate Checklist'!$A$5:$A$204,$A103,'Gate Checklist'!$B$5:$B$204,0,'Gate Checklist'!$D$5:$D$204,"Fail")+COUNTIFS('Gate Checklist'!$A$5:$A$204,$A103,'Gate Checklist'!$B$5:$B$204,1,'Gate Checklist'!$D$5:$D$204,"Fail")&gt;0,"BLOCKED",IF(AND(COUNTIFS('Gate Checklist'!$A$5:$A$204,$A103,'Gate Checklist'!$B$5:$B$204,0,'Gate Checklist'!$D$5:$D$204,"Pass")&gt;0,COUNTIFS('Gate Checklist'!$A$5:$A$204,$A103,'Gate Checklist'!$B$5:$B$204,1,'Gate Checklist'!$D$5:$D$204,"Pass")&gt;0),IF($P103="Ready for mapping","READY FOR MAPPING",IF($P103="Ready with remediation","READY WITH REMEDIATION",IF($P103="Deferred","DEFERRED","DISPOSITION REQUIRED"))),IF(COUNTIFS('Gate Checklist'!$A$5:$A$204,$A103,'Gate Checklist'!$B$5:$B$204,0,'Gate Checklist'!$D$5:$D$204,"Pass")+COUNTIFS('Gate Checklist'!$A$5:$A$204,$A103,'Gate Checklist'!$B$5:$B$204,1,'Gate Checklist'!$D$5:$D$204,"Pass")&gt;0,"IN PROGRESS","NOT ASSESSED"))))</x:f>
      </x:c>
      <x:c r="P103" s="82"/>
      <x:c r="Q103" s="82"/>
      <x:c r="R103" s="83"/>
      <x:c r="S103" s="82"/>
    </x:row>
    <x:row r="104">
      <x:c r="K104" s="82"/>
      <x:c r="L104" s="82"/>
      <x:c r="M104" s="82"/>
      <x:c r="N104" s="83" t="str">
        <x:f>IF($A104="","",IF(OR($K104="",$L104="",$M104="") ,"",SUM($K104:$L104)+6-$M104))</x:f>
      </x:c>
      <x:c r="O104" s="83" t="str">
        <x:f>IF($A104="","",IF(COUNTIFS('Gate Checklist'!$A$5:$A$204,$A104,'Gate Checklist'!$B$5:$B$204,0,'Gate Checklist'!$D$5:$D$204,"Fail")+COUNTIFS('Gate Checklist'!$A$5:$A$204,$A104,'Gate Checklist'!$B$5:$B$204,1,'Gate Checklist'!$D$5:$D$204,"Fail")&gt;0,"BLOCKED",IF(AND(COUNTIFS('Gate Checklist'!$A$5:$A$204,$A104,'Gate Checklist'!$B$5:$B$204,0,'Gate Checklist'!$D$5:$D$204,"Pass")&gt;0,COUNTIFS('Gate Checklist'!$A$5:$A$204,$A104,'Gate Checklist'!$B$5:$B$204,1,'Gate Checklist'!$D$5:$D$204,"Pass")&gt;0),IF($P104="Ready for mapping","READY FOR MAPPING",IF($P104="Ready with remediation","READY WITH REMEDIATION",IF($P104="Deferred","DEFERRED","DISPOSITION REQUIRED"))),IF(COUNTIFS('Gate Checklist'!$A$5:$A$204,$A104,'Gate Checklist'!$B$5:$B$204,0,'Gate Checklist'!$D$5:$D$204,"Pass")+COUNTIFS('Gate Checklist'!$A$5:$A$204,$A104,'Gate Checklist'!$B$5:$B$204,1,'Gate Checklist'!$D$5:$D$204,"Pass")&gt;0,"IN PROGRESS","NOT ASSESSED"))))</x:f>
      </x:c>
      <x:c r="P104" s="82"/>
      <x:c r="Q104" s="82"/>
      <x:c r="R104" s="83"/>
      <x:c r="S104" s="82"/>
    </x:row>
    <x:row r="105">
      <x:c r="K105" s="82"/>
      <x:c r="L105" s="82"/>
      <x:c r="M105" s="82"/>
      <x:c r="N105" s="83" t="str">
        <x:f>IF($A105="","",IF(OR($K105="",$L105="",$M105="") ,"",SUM($K105:$L105)+6-$M105))</x:f>
      </x:c>
      <x:c r="O105" s="83" t="str">
        <x:f>IF($A105="","",IF(COUNTIFS('Gate Checklist'!$A$5:$A$204,$A105,'Gate Checklist'!$B$5:$B$204,0,'Gate Checklist'!$D$5:$D$204,"Fail")+COUNTIFS('Gate Checklist'!$A$5:$A$204,$A105,'Gate Checklist'!$B$5:$B$204,1,'Gate Checklist'!$D$5:$D$204,"Fail")&gt;0,"BLOCKED",IF(AND(COUNTIFS('Gate Checklist'!$A$5:$A$204,$A105,'Gate Checklist'!$B$5:$B$204,0,'Gate Checklist'!$D$5:$D$204,"Pass")&gt;0,COUNTIFS('Gate Checklist'!$A$5:$A$204,$A105,'Gate Checklist'!$B$5:$B$204,1,'Gate Checklist'!$D$5:$D$204,"Pass")&gt;0),IF($P105="Ready for mapping","READY FOR MAPPING",IF($P105="Ready with remediation","READY WITH REMEDIATION",IF($P105="Deferred","DEFERRED","DISPOSITION REQUIRED"))),IF(COUNTIFS('Gate Checklist'!$A$5:$A$204,$A105,'Gate Checklist'!$B$5:$B$204,0,'Gate Checklist'!$D$5:$D$204,"Pass")+COUNTIFS('Gate Checklist'!$A$5:$A$204,$A105,'Gate Checklist'!$B$5:$B$204,1,'Gate Checklist'!$D$5:$D$204,"Pass")&gt;0,"IN PROGRESS","NOT ASSESSED"))))</x:f>
      </x:c>
      <x:c r="P105" s="82"/>
      <x:c r="Q105" s="82"/>
      <x:c r="R105" s="83"/>
      <x:c r="S105" s="82"/>
    </x:row>
    <x:row r="106">
      <x:c r="K106" s="82"/>
      <x:c r="L106" s="82"/>
      <x:c r="M106" s="82"/>
      <x:c r="N106" s="83" t="str">
        <x:f>IF($A106="","",IF(OR($K106="",$L106="",$M106="") ,"",SUM($K106:$L106)+6-$M106))</x:f>
      </x:c>
      <x:c r="O106" s="83" t="str">
        <x:f>IF($A106="","",IF(COUNTIFS('Gate Checklist'!$A$5:$A$204,$A106,'Gate Checklist'!$B$5:$B$204,0,'Gate Checklist'!$D$5:$D$204,"Fail")+COUNTIFS('Gate Checklist'!$A$5:$A$204,$A106,'Gate Checklist'!$B$5:$B$204,1,'Gate Checklist'!$D$5:$D$204,"Fail")&gt;0,"BLOCKED",IF(AND(COUNTIFS('Gate Checklist'!$A$5:$A$204,$A106,'Gate Checklist'!$B$5:$B$204,0,'Gate Checklist'!$D$5:$D$204,"Pass")&gt;0,COUNTIFS('Gate Checklist'!$A$5:$A$204,$A106,'Gate Checklist'!$B$5:$B$204,1,'Gate Checklist'!$D$5:$D$204,"Pass")&gt;0),IF($P106="Ready for mapping","READY FOR MAPPING",IF($P106="Ready with remediation","READY WITH REMEDIATION",IF($P106="Deferred","DEFERRED","DISPOSITION REQUIRED"))),IF(COUNTIFS('Gate Checklist'!$A$5:$A$204,$A106,'Gate Checklist'!$B$5:$B$204,0,'Gate Checklist'!$D$5:$D$204,"Pass")+COUNTIFS('Gate Checklist'!$A$5:$A$204,$A106,'Gate Checklist'!$B$5:$B$204,1,'Gate Checklist'!$D$5:$D$204,"Pass")&gt;0,"IN PROGRESS","NOT ASSESSED"))))</x:f>
      </x:c>
      <x:c r="P106" s="82"/>
      <x:c r="Q106" s="82"/>
      <x:c r="R106" s="83"/>
      <x:c r="S106" s="82"/>
    </x:row>
    <x:row r="107">
      <x:c r="K107" s="82"/>
      <x:c r="L107" s="82"/>
      <x:c r="M107" s="82"/>
      <x:c r="N107" s="83" t="str">
        <x:f>IF($A107="","",IF(OR($K107="",$L107="",$M107="") ,"",SUM($K107:$L107)+6-$M107))</x:f>
      </x:c>
      <x:c r="O107" s="83" t="str">
        <x:f>IF($A107="","",IF(COUNTIFS('Gate Checklist'!$A$5:$A$204,$A107,'Gate Checklist'!$B$5:$B$204,0,'Gate Checklist'!$D$5:$D$204,"Fail")+COUNTIFS('Gate Checklist'!$A$5:$A$204,$A107,'Gate Checklist'!$B$5:$B$204,1,'Gate Checklist'!$D$5:$D$204,"Fail")&gt;0,"BLOCKED",IF(AND(COUNTIFS('Gate Checklist'!$A$5:$A$204,$A107,'Gate Checklist'!$B$5:$B$204,0,'Gate Checklist'!$D$5:$D$204,"Pass")&gt;0,COUNTIFS('Gate Checklist'!$A$5:$A$204,$A107,'Gate Checklist'!$B$5:$B$204,1,'Gate Checklist'!$D$5:$D$204,"Pass")&gt;0),IF($P107="Ready for mapping","READY FOR MAPPING",IF($P107="Ready with remediation","READY WITH REMEDIATION",IF($P107="Deferred","DEFERRED","DISPOSITION REQUIRED"))),IF(COUNTIFS('Gate Checklist'!$A$5:$A$204,$A107,'Gate Checklist'!$B$5:$B$204,0,'Gate Checklist'!$D$5:$D$204,"Pass")+COUNTIFS('Gate Checklist'!$A$5:$A$204,$A107,'Gate Checklist'!$B$5:$B$204,1,'Gate Checklist'!$D$5:$D$204,"Pass")&gt;0,"IN PROGRESS","NOT ASSESSED"))))</x:f>
      </x:c>
      <x:c r="P107" s="82"/>
      <x:c r="Q107" s="82"/>
      <x:c r="R107" s="83"/>
      <x:c r="S107" s="82"/>
    </x:row>
    <x:row r="108">
      <x:c r="K108" s="82"/>
      <x:c r="L108" s="82"/>
      <x:c r="M108" s="82"/>
      <x:c r="N108" s="83" t="str">
        <x:f>IF($A108="","",IF(OR($K108="",$L108="",$M108="") ,"",SUM($K108:$L108)+6-$M108))</x:f>
      </x:c>
      <x:c r="O108" s="83" t="str">
        <x:f>IF($A108="","",IF(COUNTIFS('Gate Checklist'!$A$5:$A$204,$A108,'Gate Checklist'!$B$5:$B$204,0,'Gate Checklist'!$D$5:$D$204,"Fail")+COUNTIFS('Gate Checklist'!$A$5:$A$204,$A108,'Gate Checklist'!$B$5:$B$204,1,'Gate Checklist'!$D$5:$D$204,"Fail")&gt;0,"BLOCKED",IF(AND(COUNTIFS('Gate Checklist'!$A$5:$A$204,$A108,'Gate Checklist'!$B$5:$B$204,0,'Gate Checklist'!$D$5:$D$204,"Pass")&gt;0,COUNTIFS('Gate Checklist'!$A$5:$A$204,$A108,'Gate Checklist'!$B$5:$B$204,1,'Gate Checklist'!$D$5:$D$204,"Pass")&gt;0),IF($P108="Ready for mapping","READY FOR MAPPING",IF($P108="Ready with remediation","READY WITH REMEDIATION",IF($P108="Deferred","DEFERRED","DISPOSITION REQUIRED"))),IF(COUNTIFS('Gate Checklist'!$A$5:$A$204,$A108,'Gate Checklist'!$B$5:$B$204,0,'Gate Checklist'!$D$5:$D$204,"Pass")+COUNTIFS('Gate Checklist'!$A$5:$A$204,$A108,'Gate Checklist'!$B$5:$B$204,1,'Gate Checklist'!$D$5:$D$204,"Pass")&gt;0,"IN PROGRESS","NOT ASSESSED"))))</x:f>
      </x:c>
      <x:c r="P108" s="82"/>
      <x:c r="Q108" s="82"/>
      <x:c r="R108" s="83"/>
      <x:c r="S108" s="82"/>
    </x:row>
    <x:row r="109">
      <x:c r="K109" s="82"/>
      <x:c r="L109" s="82"/>
      <x:c r="M109" s="82"/>
      <x:c r="N109" s="83" t="str">
        <x:f>IF($A109="","",IF(OR($K109="",$L109="",$M109="") ,"",SUM($K109:$L109)+6-$M109))</x:f>
      </x:c>
      <x:c r="O109" s="83" t="str">
        <x:f>IF($A109="","",IF(COUNTIFS('Gate Checklist'!$A$5:$A$204,$A109,'Gate Checklist'!$B$5:$B$204,0,'Gate Checklist'!$D$5:$D$204,"Fail")+COUNTIFS('Gate Checklist'!$A$5:$A$204,$A109,'Gate Checklist'!$B$5:$B$204,1,'Gate Checklist'!$D$5:$D$204,"Fail")&gt;0,"BLOCKED",IF(AND(COUNTIFS('Gate Checklist'!$A$5:$A$204,$A109,'Gate Checklist'!$B$5:$B$204,0,'Gate Checklist'!$D$5:$D$204,"Pass")&gt;0,COUNTIFS('Gate Checklist'!$A$5:$A$204,$A109,'Gate Checklist'!$B$5:$B$204,1,'Gate Checklist'!$D$5:$D$204,"Pass")&gt;0),IF($P109="Ready for mapping","READY FOR MAPPING",IF($P109="Ready with remediation","READY WITH REMEDIATION",IF($P109="Deferred","DEFERRED","DISPOSITION REQUIRED"))),IF(COUNTIFS('Gate Checklist'!$A$5:$A$204,$A109,'Gate Checklist'!$B$5:$B$204,0,'Gate Checklist'!$D$5:$D$204,"Pass")+COUNTIFS('Gate Checklist'!$A$5:$A$204,$A109,'Gate Checklist'!$B$5:$B$204,1,'Gate Checklist'!$D$5:$D$204,"Pass")&gt;0,"IN PROGRESS","NOT ASSESSED"))))</x:f>
      </x:c>
      <x:c r="P109" s="82"/>
      <x:c r="Q109" s="82"/>
      <x:c r="R109" s="83"/>
      <x:c r="S109" s="82"/>
    </x:row>
    <x:row r="110">
      <x:c r="K110" s="82"/>
      <x:c r="L110" s="82"/>
      <x:c r="M110" s="82"/>
      <x:c r="N110" s="83" t="str">
        <x:f>IF($A110="","",IF(OR($K110="",$L110="",$M110="") ,"",SUM($K110:$L110)+6-$M110))</x:f>
      </x:c>
      <x:c r="O110" s="83" t="str">
        <x:f>IF($A110="","",IF(COUNTIFS('Gate Checklist'!$A$5:$A$204,$A110,'Gate Checklist'!$B$5:$B$204,0,'Gate Checklist'!$D$5:$D$204,"Fail")+COUNTIFS('Gate Checklist'!$A$5:$A$204,$A110,'Gate Checklist'!$B$5:$B$204,1,'Gate Checklist'!$D$5:$D$204,"Fail")&gt;0,"BLOCKED",IF(AND(COUNTIFS('Gate Checklist'!$A$5:$A$204,$A110,'Gate Checklist'!$B$5:$B$204,0,'Gate Checklist'!$D$5:$D$204,"Pass")&gt;0,COUNTIFS('Gate Checklist'!$A$5:$A$204,$A110,'Gate Checklist'!$B$5:$B$204,1,'Gate Checklist'!$D$5:$D$204,"Pass")&gt;0),IF($P110="Ready for mapping","READY FOR MAPPING",IF($P110="Ready with remediation","READY WITH REMEDIATION",IF($P110="Deferred","DEFERRED","DISPOSITION REQUIRED"))),IF(COUNTIFS('Gate Checklist'!$A$5:$A$204,$A110,'Gate Checklist'!$B$5:$B$204,0,'Gate Checklist'!$D$5:$D$204,"Pass")+COUNTIFS('Gate Checklist'!$A$5:$A$204,$A110,'Gate Checklist'!$B$5:$B$204,1,'Gate Checklist'!$D$5:$D$204,"Pass")&gt;0,"IN PROGRESS","NOT ASSESSED"))))</x:f>
      </x:c>
      <x:c r="P110" s="82"/>
      <x:c r="Q110" s="82"/>
      <x:c r="R110" s="83"/>
      <x:c r="S110" s="82"/>
    </x:row>
    <x:row r="111">
      <x:c r="K111" s="82"/>
      <x:c r="L111" s="82"/>
      <x:c r="M111" s="82"/>
      <x:c r="N111" s="83" t="str">
        <x:f>IF($A111="","",IF(OR($K111="",$L111="",$M111="") ,"",SUM($K111:$L111)+6-$M111))</x:f>
      </x:c>
      <x:c r="O111" s="83" t="str">
        <x:f>IF($A111="","",IF(COUNTIFS('Gate Checklist'!$A$5:$A$204,$A111,'Gate Checklist'!$B$5:$B$204,0,'Gate Checklist'!$D$5:$D$204,"Fail")+COUNTIFS('Gate Checklist'!$A$5:$A$204,$A111,'Gate Checklist'!$B$5:$B$204,1,'Gate Checklist'!$D$5:$D$204,"Fail")&gt;0,"BLOCKED",IF(AND(COUNTIFS('Gate Checklist'!$A$5:$A$204,$A111,'Gate Checklist'!$B$5:$B$204,0,'Gate Checklist'!$D$5:$D$204,"Pass")&gt;0,COUNTIFS('Gate Checklist'!$A$5:$A$204,$A111,'Gate Checklist'!$B$5:$B$204,1,'Gate Checklist'!$D$5:$D$204,"Pass")&gt;0),IF($P111="Ready for mapping","READY FOR MAPPING",IF($P111="Ready with remediation","READY WITH REMEDIATION",IF($P111="Deferred","DEFERRED","DISPOSITION REQUIRED"))),IF(COUNTIFS('Gate Checklist'!$A$5:$A$204,$A111,'Gate Checklist'!$B$5:$B$204,0,'Gate Checklist'!$D$5:$D$204,"Pass")+COUNTIFS('Gate Checklist'!$A$5:$A$204,$A111,'Gate Checklist'!$B$5:$B$204,1,'Gate Checklist'!$D$5:$D$204,"Pass")&gt;0,"IN PROGRESS","NOT ASSESSED"))))</x:f>
      </x:c>
      <x:c r="P111" s="82"/>
      <x:c r="Q111" s="82"/>
      <x:c r="R111" s="83"/>
      <x:c r="S111" s="82"/>
    </x:row>
    <x:row r="112">
      <x:c r="K112" s="82"/>
      <x:c r="L112" s="82"/>
      <x:c r="M112" s="82"/>
      <x:c r="N112" s="83" t="str">
        <x:f>IF($A112="","",IF(OR($K112="",$L112="",$M112="") ,"",SUM($K112:$L112)+6-$M112))</x:f>
      </x:c>
      <x:c r="O112" s="83" t="str">
        <x:f>IF($A112="","",IF(COUNTIFS('Gate Checklist'!$A$5:$A$204,$A112,'Gate Checklist'!$B$5:$B$204,0,'Gate Checklist'!$D$5:$D$204,"Fail")+COUNTIFS('Gate Checklist'!$A$5:$A$204,$A112,'Gate Checklist'!$B$5:$B$204,1,'Gate Checklist'!$D$5:$D$204,"Fail")&gt;0,"BLOCKED",IF(AND(COUNTIFS('Gate Checklist'!$A$5:$A$204,$A112,'Gate Checklist'!$B$5:$B$204,0,'Gate Checklist'!$D$5:$D$204,"Pass")&gt;0,COUNTIFS('Gate Checklist'!$A$5:$A$204,$A112,'Gate Checklist'!$B$5:$B$204,1,'Gate Checklist'!$D$5:$D$204,"Pass")&gt;0),IF($P112="Ready for mapping","READY FOR MAPPING",IF($P112="Ready with remediation","READY WITH REMEDIATION",IF($P112="Deferred","DEFERRED","DISPOSITION REQUIRED"))),IF(COUNTIFS('Gate Checklist'!$A$5:$A$204,$A112,'Gate Checklist'!$B$5:$B$204,0,'Gate Checklist'!$D$5:$D$204,"Pass")+COUNTIFS('Gate Checklist'!$A$5:$A$204,$A112,'Gate Checklist'!$B$5:$B$204,1,'Gate Checklist'!$D$5:$D$204,"Pass")&gt;0,"IN PROGRESS","NOT ASSESSED"))))</x:f>
      </x:c>
      <x:c r="P112" s="82"/>
      <x:c r="Q112" s="82"/>
      <x:c r="R112" s="83"/>
      <x:c r="S112" s="82"/>
    </x:row>
    <x:row r="113">
      <x:c r="K113" s="82"/>
      <x:c r="L113" s="82"/>
      <x:c r="M113" s="82"/>
      <x:c r="N113" s="83" t="str">
        <x:f>IF($A113="","",IF(OR($K113="",$L113="",$M113="") ,"",SUM($K113:$L113)+6-$M113))</x:f>
      </x:c>
      <x:c r="O113" s="83" t="str">
        <x:f>IF($A113="","",IF(COUNTIFS('Gate Checklist'!$A$5:$A$204,$A113,'Gate Checklist'!$B$5:$B$204,0,'Gate Checklist'!$D$5:$D$204,"Fail")+COUNTIFS('Gate Checklist'!$A$5:$A$204,$A113,'Gate Checklist'!$B$5:$B$204,1,'Gate Checklist'!$D$5:$D$204,"Fail")&gt;0,"BLOCKED",IF(AND(COUNTIFS('Gate Checklist'!$A$5:$A$204,$A113,'Gate Checklist'!$B$5:$B$204,0,'Gate Checklist'!$D$5:$D$204,"Pass")&gt;0,COUNTIFS('Gate Checklist'!$A$5:$A$204,$A113,'Gate Checklist'!$B$5:$B$204,1,'Gate Checklist'!$D$5:$D$204,"Pass")&gt;0),IF($P113="Ready for mapping","READY FOR MAPPING",IF($P113="Ready with remediation","READY WITH REMEDIATION",IF($P113="Deferred","DEFERRED","DISPOSITION REQUIRED"))),IF(COUNTIFS('Gate Checklist'!$A$5:$A$204,$A113,'Gate Checklist'!$B$5:$B$204,0,'Gate Checklist'!$D$5:$D$204,"Pass")+COUNTIFS('Gate Checklist'!$A$5:$A$204,$A113,'Gate Checklist'!$B$5:$B$204,1,'Gate Checklist'!$D$5:$D$204,"Pass")&gt;0,"IN PROGRESS","NOT ASSESSED"))))</x:f>
      </x:c>
      <x:c r="P113" s="82"/>
      <x:c r="Q113" s="82"/>
      <x:c r="R113" s="83"/>
      <x:c r="S113" s="82"/>
    </x:row>
    <x:row r="114">
      <x:c r="K114" s="82"/>
      <x:c r="L114" s="82"/>
      <x:c r="M114" s="82"/>
      <x:c r="N114" s="83" t="str">
        <x:f>IF($A114="","",IF(OR($K114="",$L114="",$M114="") ,"",SUM($K114:$L114)+6-$M114))</x:f>
      </x:c>
      <x:c r="O114" s="83" t="str">
        <x:f>IF($A114="","",IF(COUNTIFS('Gate Checklist'!$A$5:$A$204,$A114,'Gate Checklist'!$B$5:$B$204,0,'Gate Checklist'!$D$5:$D$204,"Fail")+COUNTIFS('Gate Checklist'!$A$5:$A$204,$A114,'Gate Checklist'!$B$5:$B$204,1,'Gate Checklist'!$D$5:$D$204,"Fail")&gt;0,"BLOCKED",IF(AND(COUNTIFS('Gate Checklist'!$A$5:$A$204,$A114,'Gate Checklist'!$B$5:$B$204,0,'Gate Checklist'!$D$5:$D$204,"Pass")&gt;0,COUNTIFS('Gate Checklist'!$A$5:$A$204,$A114,'Gate Checklist'!$B$5:$B$204,1,'Gate Checklist'!$D$5:$D$204,"Pass")&gt;0),IF($P114="Ready for mapping","READY FOR MAPPING",IF($P114="Ready with remediation","READY WITH REMEDIATION",IF($P114="Deferred","DEFERRED","DISPOSITION REQUIRED"))),IF(COUNTIFS('Gate Checklist'!$A$5:$A$204,$A114,'Gate Checklist'!$B$5:$B$204,0,'Gate Checklist'!$D$5:$D$204,"Pass")+COUNTIFS('Gate Checklist'!$A$5:$A$204,$A114,'Gate Checklist'!$B$5:$B$204,1,'Gate Checklist'!$D$5:$D$204,"Pass")&gt;0,"IN PROGRESS","NOT ASSESSED"))))</x:f>
      </x:c>
      <x:c r="P114" s="82"/>
      <x:c r="Q114" s="82"/>
      <x:c r="R114" s="83"/>
      <x:c r="S114" s="82"/>
    </x:row>
    <x:row r="115">
      <x:c r="K115" s="82"/>
      <x:c r="L115" s="82"/>
      <x:c r="M115" s="82"/>
      <x:c r="N115" s="83" t="str">
        <x:f>IF($A115="","",IF(OR($K115="",$L115="",$M115="") ,"",SUM($K115:$L115)+6-$M115))</x:f>
      </x:c>
      <x:c r="O115" s="83" t="str">
        <x:f>IF($A115="","",IF(COUNTIFS('Gate Checklist'!$A$5:$A$204,$A115,'Gate Checklist'!$B$5:$B$204,0,'Gate Checklist'!$D$5:$D$204,"Fail")+COUNTIFS('Gate Checklist'!$A$5:$A$204,$A115,'Gate Checklist'!$B$5:$B$204,1,'Gate Checklist'!$D$5:$D$204,"Fail")&gt;0,"BLOCKED",IF(AND(COUNTIFS('Gate Checklist'!$A$5:$A$204,$A115,'Gate Checklist'!$B$5:$B$204,0,'Gate Checklist'!$D$5:$D$204,"Pass")&gt;0,COUNTIFS('Gate Checklist'!$A$5:$A$204,$A115,'Gate Checklist'!$B$5:$B$204,1,'Gate Checklist'!$D$5:$D$204,"Pass")&gt;0),IF($P115="Ready for mapping","READY FOR MAPPING",IF($P115="Ready with remediation","READY WITH REMEDIATION",IF($P115="Deferred","DEFERRED","DISPOSITION REQUIRED"))),IF(COUNTIFS('Gate Checklist'!$A$5:$A$204,$A115,'Gate Checklist'!$B$5:$B$204,0,'Gate Checklist'!$D$5:$D$204,"Pass")+COUNTIFS('Gate Checklist'!$A$5:$A$204,$A115,'Gate Checklist'!$B$5:$B$204,1,'Gate Checklist'!$D$5:$D$204,"Pass")&gt;0,"IN PROGRESS","NOT ASSESSED"))))</x:f>
      </x:c>
      <x:c r="P115" s="82"/>
      <x:c r="Q115" s="82"/>
      <x:c r="R115" s="83"/>
      <x:c r="S115" s="82"/>
    </x:row>
    <x:row r="116">
      <x:c r="K116" s="82"/>
      <x:c r="L116" s="82"/>
      <x:c r="M116" s="82"/>
      <x:c r="N116" s="83" t="str">
        <x:f>IF($A116="","",IF(OR($K116="",$L116="",$M116="") ,"",SUM($K116:$L116)+6-$M116))</x:f>
      </x:c>
      <x:c r="O116" s="83" t="str">
        <x:f>IF($A116="","",IF(COUNTIFS('Gate Checklist'!$A$5:$A$204,$A116,'Gate Checklist'!$B$5:$B$204,0,'Gate Checklist'!$D$5:$D$204,"Fail")+COUNTIFS('Gate Checklist'!$A$5:$A$204,$A116,'Gate Checklist'!$B$5:$B$204,1,'Gate Checklist'!$D$5:$D$204,"Fail")&gt;0,"BLOCKED",IF(AND(COUNTIFS('Gate Checklist'!$A$5:$A$204,$A116,'Gate Checklist'!$B$5:$B$204,0,'Gate Checklist'!$D$5:$D$204,"Pass")&gt;0,COUNTIFS('Gate Checklist'!$A$5:$A$204,$A116,'Gate Checklist'!$B$5:$B$204,1,'Gate Checklist'!$D$5:$D$204,"Pass")&gt;0),IF($P116="Ready for mapping","READY FOR MAPPING",IF($P116="Ready with remediation","READY WITH REMEDIATION",IF($P116="Deferred","DEFERRED","DISPOSITION REQUIRED"))),IF(COUNTIFS('Gate Checklist'!$A$5:$A$204,$A116,'Gate Checklist'!$B$5:$B$204,0,'Gate Checklist'!$D$5:$D$204,"Pass")+COUNTIFS('Gate Checklist'!$A$5:$A$204,$A116,'Gate Checklist'!$B$5:$B$204,1,'Gate Checklist'!$D$5:$D$204,"Pass")&gt;0,"IN PROGRESS","NOT ASSESSED"))))</x:f>
      </x:c>
      <x:c r="P116" s="82"/>
      <x:c r="Q116" s="82"/>
      <x:c r="R116" s="83"/>
      <x:c r="S116" s="82"/>
    </x:row>
    <x:row r="117">
      <x:c r="K117" s="82"/>
      <x:c r="L117" s="82"/>
      <x:c r="M117" s="82"/>
      <x:c r="N117" s="83" t="str">
        <x:f>IF($A117="","",IF(OR($K117="",$L117="",$M117="") ,"",SUM($K117:$L117)+6-$M117))</x:f>
      </x:c>
      <x:c r="O117" s="83" t="str">
        <x:f>IF($A117="","",IF(COUNTIFS('Gate Checklist'!$A$5:$A$204,$A117,'Gate Checklist'!$B$5:$B$204,0,'Gate Checklist'!$D$5:$D$204,"Fail")+COUNTIFS('Gate Checklist'!$A$5:$A$204,$A117,'Gate Checklist'!$B$5:$B$204,1,'Gate Checklist'!$D$5:$D$204,"Fail")&gt;0,"BLOCKED",IF(AND(COUNTIFS('Gate Checklist'!$A$5:$A$204,$A117,'Gate Checklist'!$B$5:$B$204,0,'Gate Checklist'!$D$5:$D$204,"Pass")&gt;0,COUNTIFS('Gate Checklist'!$A$5:$A$204,$A117,'Gate Checklist'!$B$5:$B$204,1,'Gate Checklist'!$D$5:$D$204,"Pass")&gt;0),IF($P117="Ready for mapping","READY FOR MAPPING",IF($P117="Ready with remediation","READY WITH REMEDIATION",IF($P117="Deferred","DEFERRED","DISPOSITION REQUIRED"))),IF(COUNTIFS('Gate Checklist'!$A$5:$A$204,$A117,'Gate Checklist'!$B$5:$B$204,0,'Gate Checklist'!$D$5:$D$204,"Pass")+COUNTIFS('Gate Checklist'!$A$5:$A$204,$A117,'Gate Checklist'!$B$5:$B$204,1,'Gate Checklist'!$D$5:$D$204,"Pass")&gt;0,"IN PROGRESS","NOT ASSESSED"))))</x:f>
      </x:c>
      <x:c r="P117" s="82"/>
      <x:c r="Q117" s="82"/>
      <x:c r="R117" s="83"/>
      <x:c r="S117" s="82"/>
    </x:row>
    <x:row r="118">
      <x:c r="K118" s="82"/>
      <x:c r="L118" s="82"/>
      <x:c r="M118" s="82"/>
      <x:c r="N118" s="83" t="str">
        <x:f>IF($A118="","",IF(OR($K118="",$L118="",$M118="") ,"",SUM($K118:$L118)+6-$M118))</x:f>
      </x:c>
      <x:c r="O118" s="83" t="str">
        <x:f>IF($A118="","",IF(COUNTIFS('Gate Checklist'!$A$5:$A$204,$A118,'Gate Checklist'!$B$5:$B$204,0,'Gate Checklist'!$D$5:$D$204,"Fail")+COUNTIFS('Gate Checklist'!$A$5:$A$204,$A118,'Gate Checklist'!$B$5:$B$204,1,'Gate Checklist'!$D$5:$D$204,"Fail")&gt;0,"BLOCKED",IF(AND(COUNTIFS('Gate Checklist'!$A$5:$A$204,$A118,'Gate Checklist'!$B$5:$B$204,0,'Gate Checklist'!$D$5:$D$204,"Pass")&gt;0,COUNTIFS('Gate Checklist'!$A$5:$A$204,$A118,'Gate Checklist'!$B$5:$B$204,1,'Gate Checklist'!$D$5:$D$204,"Pass")&gt;0),IF($P118="Ready for mapping","READY FOR MAPPING",IF($P118="Ready with remediation","READY WITH REMEDIATION",IF($P118="Deferred","DEFERRED","DISPOSITION REQUIRED"))),IF(COUNTIFS('Gate Checklist'!$A$5:$A$204,$A118,'Gate Checklist'!$B$5:$B$204,0,'Gate Checklist'!$D$5:$D$204,"Pass")+COUNTIFS('Gate Checklist'!$A$5:$A$204,$A118,'Gate Checklist'!$B$5:$B$204,1,'Gate Checklist'!$D$5:$D$204,"Pass")&gt;0,"IN PROGRESS","NOT ASSESSED"))))</x:f>
      </x:c>
      <x:c r="P118" s="82"/>
      <x:c r="Q118" s="82"/>
      <x:c r="R118" s="83"/>
      <x:c r="S118" s="82"/>
    </x:row>
    <x:row r="119">
      <x:c r="K119" s="82"/>
      <x:c r="L119" s="82"/>
      <x:c r="M119" s="82"/>
      <x:c r="N119" s="83" t="str">
        <x:f>IF($A119="","",IF(OR($K119="",$L119="",$M119="") ,"",SUM($K119:$L119)+6-$M119))</x:f>
      </x:c>
      <x:c r="O119" s="83" t="str">
        <x:f>IF($A119="","",IF(COUNTIFS('Gate Checklist'!$A$5:$A$204,$A119,'Gate Checklist'!$B$5:$B$204,0,'Gate Checklist'!$D$5:$D$204,"Fail")+COUNTIFS('Gate Checklist'!$A$5:$A$204,$A119,'Gate Checklist'!$B$5:$B$204,1,'Gate Checklist'!$D$5:$D$204,"Fail")&gt;0,"BLOCKED",IF(AND(COUNTIFS('Gate Checklist'!$A$5:$A$204,$A119,'Gate Checklist'!$B$5:$B$204,0,'Gate Checklist'!$D$5:$D$204,"Pass")&gt;0,COUNTIFS('Gate Checklist'!$A$5:$A$204,$A119,'Gate Checklist'!$B$5:$B$204,1,'Gate Checklist'!$D$5:$D$204,"Pass")&gt;0),IF($P119="Ready for mapping","READY FOR MAPPING",IF($P119="Ready with remediation","READY WITH REMEDIATION",IF($P119="Deferred","DEFERRED","DISPOSITION REQUIRED"))),IF(COUNTIFS('Gate Checklist'!$A$5:$A$204,$A119,'Gate Checklist'!$B$5:$B$204,0,'Gate Checklist'!$D$5:$D$204,"Pass")+COUNTIFS('Gate Checklist'!$A$5:$A$204,$A119,'Gate Checklist'!$B$5:$B$204,1,'Gate Checklist'!$D$5:$D$204,"Pass")&gt;0,"IN PROGRESS","NOT ASSESSED"))))</x:f>
      </x:c>
      <x:c r="P119" s="82"/>
      <x:c r="Q119" s="82"/>
      <x:c r="R119" s="83"/>
      <x:c r="S119" s="82"/>
    </x:row>
    <x:row r="120">
      <x:c r="K120" s="82"/>
      <x:c r="L120" s="82"/>
      <x:c r="M120" s="82"/>
      <x:c r="N120" s="83" t="str">
        <x:f>IF($A120="","",IF(OR($K120="",$L120="",$M120="") ,"",SUM($K120:$L120)+6-$M120))</x:f>
      </x:c>
      <x:c r="O120" s="83" t="str">
        <x:f>IF($A120="","",IF(COUNTIFS('Gate Checklist'!$A$5:$A$204,$A120,'Gate Checklist'!$B$5:$B$204,0,'Gate Checklist'!$D$5:$D$204,"Fail")+COUNTIFS('Gate Checklist'!$A$5:$A$204,$A120,'Gate Checklist'!$B$5:$B$204,1,'Gate Checklist'!$D$5:$D$204,"Fail")&gt;0,"BLOCKED",IF(AND(COUNTIFS('Gate Checklist'!$A$5:$A$204,$A120,'Gate Checklist'!$B$5:$B$204,0,'Gate Checklist'!$D$5:$D$204,"Pass")&gt;0,COUNTIFS('Gate Checklist'!$A$5:$A$204,$A120,'Gate Checklist'!$B$5:$B$204,1,'Gate Checklist'!$D$5:$D$204,"Pass")&gt;0),IF($P120="Ready for mapping","READY FOR MAPPING",IF($P120="Ready with remediation","READY WITH REMEDIATION",IF($P120="Deferred","DEFERRED","DISPOSITION REQUIRED"))),IF(COUNTIFS('Gate Checklist'!$A$5:$A$204,$A120,'Gate Checklist'!$B$5:$B$204,0,'Gate Checklist'!$D$5:$D$204,"Pass")+COUNTIFS('Gate Checklist'!$A$5:$A$204,$A120,'Gate Checklist'!$B$5:$B$204,1,'Gate Checklist'!$D$5:$D$204,"Pass")&gt;0,"IN PROGRESS","NOT ASSESSED"))))</x:f>
      </x:c>
      <x:c r="P120" s="82"/>
      <x:c r="Q120" s="82"/>
      <x:c r="R120" s="83"/>
      <x:c r="S120" s="82"/>
    </x:row>
    <x:row r="121">
      <x:c r="K121" s="82"/>
      <x:c r="L121" s="82"/>
      <x:c r="M121" s="82"/>
      <x:c r="N121" s="83" t="str">
        <x:f>IF($A121="","",IF(OR($K121="",$L121="",$M121="") ,"",SUM($K121:$L121)+6-$M121))</x:f>
      </x:c>
      <x:c r="O121" s="83" t="str">
        <x:f>IF($A121="","",IF(COUNTIFS('Gate Checklist'!$A$5:$A$204,$A121,'Gate Checklist'!$B$5:$B$204,0,'Gate Checklist'!$D$5:$D$204,"Fail")+COUNTIFS('Gate Checklist'!$A$5:$A$204,$A121,'Gate Checklist'!$B$5:$B$204,1,'Gate Checklist'!$D$5:$D$204,"Fail")&gt;0,"BLOCKED",IF(AND(COUNTIFS('Gate Checklist'!$A$5:$A$204,$A121,'Gate Checklist'!$B$5:$B$204,0,'Gate Checklist'!$D$5:$D$204,"Pass")&gt;0,COUNTIFS('Gate Checklist'!$A$5:$A$204,$A121,'Gate Checklist'!$B$5:$B$204,1,'Gate Checklist'!$D$5:$D$204,"Pass")&gt;0),IF($P121="Ready for mapping","READY FOR MAPPING",IF($P121="Ready with remediation","READY WITH REMEDIATION",IF($P121="Deferred","DEFERRED","DISPOSITION REQUIRED"))),IF(COUNTIFS('Gate Checklist'!$A$5:$A$204,$A121,'Gate Checklist'!$B$5:$B$204,0,'Gate Checklist'!$D$5:$D$204,"Pass")+COUNTIFS('Gate Checklist'!$A$5:$A$204,$A121,'Gate Checklist'!$B$5:$B$204,1,'Gate Checklist'!$D$5:$D$204,"Pass")&gt;0,"IN PROGRESS","NOT ASSESSED"))))</x:f>
      </x:c>
      <x:c r="P121" s="82"/>
      <x:c r="Q121" s="82"/>
      <x:c r="R121" s="83"/>
      <x:c r="S121" s="82"/>
    </x:row>
    <x:row r="122">
      <x:c r="K122" s="82"/>
      <x:c r="L122" s="82"/>
      <x:c r="M122" s="82"/>
      <x:c r="N122" s="83" t="str">
        <x:f>IF($A122="","",IF(OR($K122="",$L122="",$M122="") ,"",SUM($K122:$L122)+6-$M122))</x:f>
      </x:c>
      <x:c r="O122" s="83" t="str">
        <x:f>IF($A122="","",IF(COUNTIFS('Gate Checklist'!$A$5:$A$204,$A122,'Gate Checklist'!$B$5:$B$204,0,'Gate Checklist'!$D$5:$D$204,"Fail")+COUNTIFS('Gate Checklist'!$A$5:$A$204,$A122,'Gate Checklist'!$B$5:$B$204,1,'Gate Checklist'!$D$5:$D$204,"Fail")&gt;0,"BLOCKED",IF(AND(COUNTIFS('Gate Checklist'!$A$5:$A$204,$A122,'Gate Checklist'!$B$5:$B$204,0,'Gate Checklist'!$D$5:$D$204,"Pass")&gt;0,COUNTIFS('Gate Checklist'!$A$5:$A$204,$A122,'Gate Checklist'!$B$5:$B$204,1,'Gate Checklist'!$D$5:$D$204,"Pass")&gt;0),IF($P122="Ready for mapping","READY FOR MAPPING",IF($P122="Ready with remediation","READY WITH REMEDIATION",IF($P122="Deferred","DEFERRED","DISPOSITION REQUIRED"))),IF(COUNTIFS('Gate Checklist'!$A$5:$A$204,$A122,'Gate Checklist'!$B$5:$B$204,0,'Gate Checklist'!$D$5:$D$204,"Pass")+COUNTIFS('Gate Checklist'!$A$5:$A$204,$A122,'Gate Checklist'!$B$5:$B$204,1,'Gate Checklist'!$D$5:$D$204,"Pass")&gt;0,"IN PROGRESS","NOT ASSESSED"))))</x:f>
      </x:c>
      <x:c r="P122" s="82"/>
      <x:c r="Q122" s="82"/>
      <x:c r="R122" s="83"/>
      <x:c r="S122" s="82"/>
    </x:row>
    <x:row r="123">
      <x:c r="K123" s="82"/>
      <x:c r="L123" s="82"/>
      <x:c r="M123" s="82"/>
      <x:c r="N123" s="83" t="str">
        <x:f>IF($A123="","",IF(OR($K123="",$L123="",$M123="") ,"",SUM($K123:$L123)+6-$M123))</x:f>
      </x:c>
      <x:c r="O123" s="83" t="str">
        <x:f>IF($A123="","",IF(COUNTIFS('Gate Checklist'!$A$5:$A$204,$A123,'Gate Checklist'!$B$5:$B$204,0,'Gate Checklist'!$D$5:$D$204,"Fail")+COUNTIFS('Gate Checklist'!$A$5:$A$204,$A123,'Gate Checklist'!$B$5:$B$204,1,'Gate Checklist'!$D$5:$D$204,"Fail")&gt;0,"BLOCKED",IF(AND(COUNTIFS('Gate Checklist'!$A$5:$A$204,$A123,'Gate Checklist'!$B$5:$B$204,0,'Gate Checklist'!$D$5:$D$204,"Pass")&gt;0,COUNTIFS('Gate Checklist'!$A$5:$A$204,$A123,'Gate Checklist'!$B$5:$B$204,1,'Gate Checklist'!$D$5:$D$204,"Pass")&gt;0),IF($P123="Ready for mapping","READY FOR MAPPING",IF($P123="Ready with remediation","READY WITH REMEDIATION",IF($P123="Deferred","DEFERRED","DISPOSITION REQUIRED"))),IF(COUNTIFS('Gate Checklist'!$A$5:$A$204,$A123,'Gate Checklist'!$B$5:$B$204,0,'Gate Checklist'!$D$5:$D$204,"Pass")+COUNTIFS('Gate Checklist'!$A$5:$A$204,$A123,'Gate Checklist'!$B$5:$B$204,1,'Gate Checklist'!$D$5:$D$204,"Pass")&gt;0,"IN PROGRESS","NOT ASSESSED"))))</x:f>
      </x:c>
      <x:c r="P123" s="82"/>
      <x:c r="Q123" s="82"/>
      <x:c r="R123" s="83"/>
      <x:c r="S123" s="82"/>
    </x:row>
    <x:row r="124">
      <x:c r="K124" s="82"/>
      <x:c r="L124" s="82"/>
      <x:c r="M124" s="82"/>
      <x:c r="N124" s="83" t="str">
        <x:f>IF($A124="","",IF(OR($K124="",$L124="",$M124="") ,"",SUM($K124:$L124)+6-$M124))</x:f>
      </x:c>
      <x:c r="O124" s="83" t="str">
        <x:f>IF($A124="","",IF(COUNTIFS('Gate Checklist'!$A$5:$A$204,$A124,'Gate Checklist'!$B$5:$B$204,0,'Gate Checklist'!$D$5:$D$204,"Fail")+COUNTIFS('Gate Checklist'!$A$5:$A$204,$A124,'Gate Checklist'!$B$5:$B$204,1,'Gate Checklist'!$D$5:$D$204,"Fail")&gt;0,"BLOCKED",IF(AND(COUNTIFS('Gate Checklist'!$A$5:$A$204,$A124,'Gate Checklist'!$B$5:$B$204,0,'Gate Checklist'!$D$5:$D$204,"Pass")&gt;0,COUNTIFS('Gate Checklist'!$A$5:$A$204,$A124,'Gate Checklist'!$B$5:$B$204,1,'Gate Checklist'!$D$5:$D$204,"Pass")&gt;0),IF($P124="Ready for mapping","READY FOR MAPPING",IF($P124="Ready with remediation","READY WITH REMEDIATION",IF($P124="Deferred","DEFERRED","DISPOSITION REQUIRED"))),IF(COUNTIFS('Gate Checklist'!$A$5:$A$204,$A124,'Gate Checklist'!$B$5:$B$204,0,'Gate Checklist'!$D$5:$D$204,"Pass")+COUNTIFS('Gate Checklist'!$A$5:$A$204,$A124,'Gate Checklist'!$B$5:$B$204,1,'Gate Checklist'!$D$5:$D$204,"Pass")&gt;0,"IN PROGRESS","NOT ASSESSED"))))</x:f>
      </x:c>
      <x:c r="P124" s="82"/>
      <x:c r="Q124" s="82"/>
      <x:c r="R124" s="83"/>
      <x:c r="S124" s="82"/>
    </x:row>
    <x:row r="125">
      <x:c r="K125" s="82"/>
      <x:c r="L125" s="82"/>
      <x:c r="M125" s="82"/>
      <x:c r="N125" s="83" t="str">
        <x:f>IF($A125="","",IF(OR($K125="",$L125="",$M125="") ,"",SUM($K125:$L125)+6-$M125))</x:f>
      </x:c>
      <x:c r="O125" s="83" t="str">
        <x:f>IF($A125="","",IF(COUNTIFS('Gate Checklist'!$A$5:$A$204,$A125,'Gate Checklist'!$B$5:$B$204,0,'Gate Checklist'!$D$5:$D$204,"Fail")+COUNTIFS('Gate Checklist'!$A$5:$A$204,$A125,'Gate Checklist'!$B$5:$B$204,1,'Gate Checklist'!$D$5:$D$204,"Fail")&gt;0,"BLOCKED",IF(AND(COUNTIFS('Gate Checklist'!$A$5:$A$204,$A125,'Gate Checklist'!$B$5:$B$204,0,'Gate Checklist'!$D$5:$D$204,"Pass")&gt;0,COUNTIFS('Gate Checklist'!$A$5:$A$204,$A125,'Gate Checklist'!$B$5:$B$204,1,'Gate Checklist'!$D$5:$D$204,"Pass")&gt;0),IF($P125="Ready for mapping","READY FOR MAPPING",IF($P125="Ready with remediation","READY WITH REMEDIATION",IF($P125="Deferred","DEFERRED","DISPOSITION REQUIRED"))),IF(COUNTIFS('Gate Checklist'!$A$5:$A$204,$A125,'Gate Checklist'!$B$5:$B$204,0,'Gate Checklist'!$D$5:$D$204,"Pass")+COUNTIFS('Gate Checklist'!$A$5:$A$204,$A125,'Gate Checklist'!$B$5:$B$204,1,'Gate Checklist'!$D$5:$D$204,"Pass")&gt;0,"IN PROGRESS","NOT ASSESSED"))))</x:f>
      </x:c>
      <x:c r="P125" s="82"/>
      <x:c r="Q125" s="82"/>
      <x:c r="R125" s="83"/>
      <x:c r="S125" s="82"/>
    </x:row>
    <x:row r="126">
      <x:c r="K126" s="82"/>
      <x:c r="L126" s="82"/>
      <x:c r="M126" s="82"/>
      <x:c r="N126" s="83" t="str">
        <x:f>IF($A126="","",IF(OR($K126="",$L126="",$M126="") ,"",SUM($K126:$L126)+6-$M126))</x:f>
      </x:c>
      <x:c r="O126" s="83" t="str">
        <x:f>IF($A126="","",IF(COUNTIFS('Gate Checklist'!$A$5:$A$204,$A126,'Gate Checklist'!$B$5:$B$204,0,'Gate Checklist'!$D$5:$D$204,"Fail")+COUNTIFS('Gate Checklist'!$A$5:$A$204,$A126,'Gate Checklist'!$B$5:$B$204,1,'Gate Checklist'!$D$5:$D$204,"Fail")&gt;0,"BLOCKED",IF(AND(COUNTIFS('Gate Checklist'!$A$5:$A$204,$A126,'Gate Checklist'!$B$5:$B$204,0,'Gate Checklist'!$D$5:$D$204,"Pass")&gt;0,COUNTIFS('Gate Checklist'!$A$5:$A$204,$A126,'Gate Checklist'!$B$5:$B$204,1,'Gate Checklist'!$D$5:$D$204,"Pass")&gt;0),IF($P126="Ready for mapping","READY FOR MAPPING",IF($P126="Ready with remediation","READY WITH REMEDIATION",IF($P126="Deferred","DEFERRED","DISPOSITION REQUIRED"))),IF(COUNTIFS('Gate Checklist'!$A$5:$A$204,$A126,'Gate Checklist'!$B$5:$B$204,0,'Gate Checklist'!$D$5:$D$204,"Pass")+COUNTIFS('Gate Checklist'!$A$5:$A$204,$A126,'Gate Checklist'!$B$5:$B$204,1,'Gate Checklist'!$D$5:$D$204,"Pass")&gt;0,"IN PROGRESS","NOT ASSESSED"))))</x:f>
      </x:c>
      <x:c r="P126" s="82"/>
      <x:c r="Q126" s="82"/>
      <x:c r="R126" s="83"/>
      <x:c r="S126" s="82"/>
    </x:row>
    <x:row r="127">
      <x:c r="K127" s="82"/>
      <x:c r="L127" s="82"/>
      <x:c r="M127" s="82"/>
      <x:c r="N127" s="83" t="str">
        <x:f>IF($A127="","",IF(OR($K127="",$L127="",$M127="") ,"",SUM($K127:$L127)+6-$M127))</x:f>
      </x:c>
      <x:c r="O127" s="83" t="str">
        <x:f>IF($A127="","",IF(COUNTIFS('Gate Checklist'!$A$5:$A$204,$A127,'Gate Checklist'!$B$5:$B$204,0,'Gate Checklist'!$D$5:$D$204,"Fail")+COUNTIFS('Gate Checklist'!$A$5:$A$204,$A127,'Gate Checklist'!$B$5:$B$204,1,'Gate Checklist'!$D$5:$D$204,"Fail")&gt;0,"BLOCKED",IF(AND(COUNTIFS('Gate Checklist'!$A$5:$A$204,$A127,'Gate Checklist'!$B$5:$B$204,0,'Gate Checklist'!$D$5:$D$204,"Pass")&gt;0,COUNTIFS('Gate Checklist'!$A$5:$A$204,$A127,'Gate Checklist'!$B$5:$B$204,1,'Gate Checklist'!$D$5:$D$204,"Pass")&gt;0),IF($P127="Ready for mapping","READY FOR MAPPING",IF($P127="Ready with remediation","READY WITH REMEDIATION",IF($P127="Deferred","DEFERRED","DISPOSITION REQUIRED"))),IF(COUNTIFS('Gate Checklist'!$A$5:$A$204,$A127,'Gate Checklist'!$B$5:$B$204,0,'Gate Checklist'!$D$5:$D$204,"Pass")+COUNTIFS('Gate Checklist'!$A$5:$A$204,$A127,'Gate Checklist'!$B$5:$B$204,1,'Gate Checklist'!$D$5:$D$204,"Pass")&gt;0,"IN PROGRESS","NOT ASSESSED"))))</x:f>
      </x:c>
      <x:c r="P127" s="82"/>
      <x:c r="Q127" s="82"/>
      <x:c r="R127" s="83"/>
      <x:c r="S127" s="82"/>
    </x:row>
    <x:row r="128">
      <x:c r="K128" s="82"/>
      <x:c r="L128" s="82"/>
      <x:c r="M128" s="82"/>
      <x:c r="N128" s="83" t="str">
        <x:f>IF($A128="","",IF(OR($K128="",$L128="",$M128="") ,"",SUM($K128:$L128)+6-$M128))</x:f>
      </x:c>
      <x:c r="O128" s="83" t="str">
        <x:f>IF($A128="","",IF(COUNTIFS('Gate Checklist'!$A$5:$A$204,$A128,'Gate Checklist'!$B$5:$B$204,0,'Gate Checklist'!$D$5:$D$204,"Fail")+COUNTIFS('Gate Checklist'!$A$5:$A$204,$A128,'Gate Checklist'!$B$5:$B$204,1,'Gate Checklist'!$D$5:$D$204,"Fail")&gt;0,"BLOCKED",IF(AND(COUNTIFS('Gate Checklist'!$A$5:$A$204,$A128,'Gate Checklist'!$B$5:$B$204,0,'Gate Checklist'!$D$5:$D$204,"Pass")&gt;0,COUNTIFS('Gate Checklist'!$A$5:$A$204,$A128,'Gate Checklist'!$B$5:$B$204,1,'Gate Checklist'!$D$5:$D$204,"Pass")&gt;0),IF($P128="Ready for mapping","READY FOR MAPPING",IF($P128="Ready with remediation","READY WITH REMEDIATION",IF($P128="Deferred","DEFERRED","DISPOSITION REQUIRED"))),IF(COUNTIFS('Gate Checklist'!$A$5:$A$204,$A128,'Gate Checklist'!$B$5:$B$204,0,'Gate Checklist'!$D$5:$D$204,"Pass")+COUNTIFS('Gate Checklist'!$A$5:$A$204,$A128,'Gate Checklist'!$B$5:$B$204,1,'Gate Checklist'!$D$5:$D$204,"Pass")&gt;0,"IN PROGRESS","NOT ASSESSED"))))</x:f>
      </x:c>
      <x:c r="P128" s="82"/>
      <x:c r="Q128" s="82"/>
      <x:c r="R128" s="83"/>
      <x:c r="S128" s="82"/>
    </x:row>
    <x:row r="129">
      <x:c r="K129" s="82"/>
      <x:c r="L129" s="82"/>
      <x:c r="M129" s="82"/>
      <x:c r="N129" s="83" t="str">
        <x:f>IF($A129="","",IF(OR($K129="",$L129="",$M129="") ,"",SUM($K129:$L129)+6-$M129))</x:f>
      </x:c>
      <x:c r="O129" s="83" t="str">
        <x:f>IF($A129="","",IF(COUNTIFS('Gate Checklist'!$A$5:$A$204,$A129,'Gate Checklist'!$B$5:$B$204,0,'Gate Checklist'!$D$5:$D$204,"Fail")+COUNTIFS('Gate Checklist'!$A$5:$A$204,$A129,'Gate Checklist'!$B$5:$B$204,1,'Gate Checklist'!$D$5:$D$204,"Fail")&gt;0,"BLOCKED",IF(AND(COUNTIFS('Gate Checklist'!$A$5:$A$204,$A129,'Gate Checklist'!$B$5:$B$204,0,'Gate Checklist'!$D$5:$D$204,"Pass")&gt;0,COUNTIFS('Gate Checklist'!$A$5:$A$204,$A129,'Gate Checklist'!$B$5:$B$204,1,'Gate Checklist'!$D$5:$D$204,"Pass")&gt;0),IF($P129="Ready for mapping","READY FOR MAPPING",IF($P129="Ready with remediation","READY WITH REMEDIATION",IF($P129="Deferred","DEFERRED","DISPOSITION REQUIRED"))),IF(COUNTIFS('Gate Checklist'!$A$5:$A$204,$A129,'Gate Checklist'!$B$5:$B$204,0,'Gate Checklist'!$D$5:$D$204,"Pass")+COUNTIFS('Gate Checklist'!$A$5:$A$204,$A129,'Gate Checklist'!$B$5:$B$204,1,'Gate Checklist'!$D$5:$D$204,"Pass")&gt;0,"IN PROGRESS","NOT ASSESSED"))))</x:f>
      </x:c>
      <x:c r="P129" s="82"/>
      <x:c r="Q129" s="82"/>
      <x:c r="R129" s="83"/>
      <x:c r="S129" s="82"/>
    </x:row>
    <x:row r="130">
      <x:c r="K130" s="82"/>
      <x:c r="L130" s="82"/>
      <x:c r="M130" s="82"/>
      <x:c r="N130" s="83" t="str">
        <x:f>IF($A130="","",IF(OR($K130="",$L130="",$M130="") ,"",SUM($K130:$L130)+6-$M130))</x:f>
      </x:c>
      <x:c r="O130" s="83" t="str">
        <x:f>IF($A130="","",IF(COUNTIFS('Gate Checklist'!$A$5:$A$204,$A130,'Gate Checklist'!$B$5:$B$204,0,'Gate Checklist'!$D$5:$D$204,"Fail")+COUNTIFS('Gate Checklist'!$A$5:$A$204,$A130,'Gate Checklist'!$B$5:$B$204,1,'Gate Checklist'!$D$5:$D$204,"Fail")&gt;0,"BLOCKED",IF(AND(COUNTIFS('Gate Checklist'!$A$5:$A$204,$A130,'Gate Checklist'!$B$5:$B$204,0,'Gate Checklist'!$D$5:$D$204,"Pass")&gt;0,COUNTIFS('Gate Checklist'!$A$5:$A$204,$A130,'Gate Checklist'!$B$5:$B$204,1,'Gate Checklist'!$D$5:$D$204,"Pass")&gt;0),IF($P130="Ready for mapping","READY FOR MAPPING",IF($P130="Ready with remediation","READY WITH REMEDIATION",IF($P130="Deferred","DEFERRED","DISPOSITION REQUIRED"))),IF(COUNTIFS('Gate Checklist'!$A$5:$A$204,$A130,'Gate Checklist'!$B$5:$B$204,0,'Gate Checklist'!$D$5:$D$204,"Pass")+COUNTIFS('Gate Checklist'!$A$5:$A$204,$A130,'Gate Checklist'!$B$5:$B$204,1,'Gate Checklist'!$D$5:$D$204,"Pass")&gt;0,"IN PROGRESS","NOT ASSESSED"))))</x:f>
      </x:c>
      <x:c r="P130" s="82"/>
      <x:c r="Q130" s="82"/>
      <x:c r="R130" s="83"/>
      <x:c r="S130" s="82"/>
    </x:row>
    <x:row r="131">
      <x:c r="K131" s="82"/>
      <x:c r="L131" s="82"/>
      <x:c r="M131" s="82"/>
      <x:c r="N131" s="83" t="str">
        <x:f>IF($A131="","",IF(OR($K131="",$L131="",$M131="") ,"",SUM($K131:$L131)+6-$M131))</x:f>
      </x:c>
      <x:c r="O131" s="83" t="str">
        <x:f>IF($A131="","",IF(COUNTIFS('Gate Checklist'!$A$5:$A$204,$A131,'Gate Checklist'!$B$5:$B$204,0,'Gate Checklist'!$D$5:$D$204,"Fail")+COUNTIFS('Gate Checklist'!$A$5:$A$204,$A131,'Gate Checklist'!$B$5:$B$204,1,'Gate Checklist'!$D$5:$D$204,"Fail")&gt;0,"BLOCKED",IF(AND(COUNTIFS('Gate Checklist'!$A$5:$A$204,$A131,'Gate Checklist'!$B$5:$B$204,0,'Gate Checklist'!$D$5:$D$204,"Pass")&gt;0,COUNTIFS('Gate Checklist'!$A$5:$A$204,$A131,'Gate Checklist'!$B$5:$B$204,1,'Gate Checklist'!$D$5:$D$204,"Pass")&gt;0),IF($P131="Ready for mapping","READY FOR MAPPING",IF($P131="Ready with remediation","READY WITH REMEDIATION",IF($P131="Deferred","DEFERRED","DISPOSITION REQUIRED"))),IF(COUNTIFS('Gate Checklist'!$A$5:$A$204,$A131,'Gate Checklist'!$B$5:$B$204,0,'Gate Checklist'!$D$5:$D$204,"Pass")+COUNTIFS('Gate Checklist'!$A$5:$A$204,$A131,'Gate Checklist'!$B$5:$B$204,1,'Gate Checklist'!$D$5:$D$204,"Pass")&gt;0,"IN PROGRESS","NOT ASSESSED"))))</x:f>
      </x:c>
      <x:c r="P131" s="82"/>
      <x:c r="Q131" s="82"/>
      <x:c r="R131" s="83"/>
      <x:c r="S131" s="82"/>
    </x:row>
    <x:row r="132">
      <x:c r="K132" s="82"/>
      <x:c r="L132" s="82"/>
      <x:c r="M132" s="82"/>
      <x:c r="N132" s="83" t="str">
        <x:f>IF($A132="","",IF(OR($K132="",$L132="",$M132="") ,"",SUM($K132:$L132)+6-$M132))</x:f>
      </x:c>
      <x:c r="O132" s="83" t="str">
        <x:f>IF($A132="","",IF(COUNTIFS('Gate Checklist'!$A$5:$A$204,$A132,'Gate Checklist'!$B$5:$B$204,0,'Gate Checklist'!$D$5:$D$204,"Fail")+COUNTIFS('Gate Checklist'!$A$5:$A$204,$A132,'Gate Checklist'!$B$5:$B$204,1,'Gate Checklist'!$D$5:$D$204,"Fail")&gt;0,"BLOCKED",IF(AND(COUNTIFS('Gate Checklist'!$A$5:$A$204,$A132,'Gate Checklist'!$B$5:$B$204,0,'Gate Checklist'!$D$5:$D$204,"Pass")&gt;0,COUNTIFS('Gate Checklist'!$A$5:$A$204,$A132,'Gate Checklist'!$B$5:$B$204,1,'Gate Checklist'!$D$5:$D$204,"Pass")&gt;0),IF($P132="Ready for mapping","READY FOR MAPPING",IF($P132="Ready with remediation","READY WITH REMEDIATION",IF($P132="Deferred","DEFERRED","DISPOSITION REQUIRED"))),IF(COUNTIFS('Gate Checklist'!$A$5:$A$204,$A132,'Gate Checklist'!$B$5:$B$204,0,'Gate Checklist'!$D$5:$D$204,"Pass")+COUNTIFS('Gate Checklist'!$A$5:$A$204,$A132,'Gate Checklist'!$B$5:$B$204,1,'Gate Checklist'!$D$5:$D$204,"Pass")&gt;0,"IN PROGRESS","NOT ASSESSED"))))</x:f>
      </x:c>
      <x:c r="P132" s="82"/>
      <x:c r="Q132" s="82"/>
      <x:c r="R132" s="83"/>
      <x:c r="S132" s="82"/>
    </x:row>
    <x:row r="133">
      <x:c r="K133" s="82"/>
      <x:c r="L133" s="82"/>
      <x:c r="M133" s="82"/>
      <x:c r="N133" s="83" t="str">
        <x:f>IF($A133="","",IF(OR($K133="",$L133="",$M133="") ,"",SUM($K133:$L133)+6-$M133))</x:f>
      </x:c>
      <x:c r="O133" s="83" t="str">
        <x:f>IF($A133="","",IF(COUNTIFS('Gate Checklist'!$A$5:$A$204,$A133,'Gate Checklist'!$B$5:$B$204,0,'Gate Checklist'!$D$5:$D$204,"Fail")+COUNTIFS('Gate Checklist'!$A$5:$A$204,$A133,'Gate Checklist'!$B$5:$B$204,1,'Gate Checklist'!$D$5:$D$204,"Fail")&gt;0,"BLOCKED",IF(AND(COUNTIFS('Gate Checklist'!$A$5:$A$204,$A133,'Gate Checklist'!$B$5:$B$204,0,'Gate Checklist'!$D$5:$D$204,"Pass")&gt;0,COUNTIFS('Gate Checklist'!$A$5:$A$204,$A133,'Gate Checklist'!$B$5:$B$204,1,'Gate Checklist'!$D$5:$D$204,"Pass")&gt;0),IF($P133="Ready for mapping","READY FOR MAPPING",IF($P133="Ready with remediation","READY WITH REMEDIATION",IF($P133="Deferred","DEFERRED","DISPOSITION REQUIRED"))),IF(COUNTIFS('Gate Checklist'!$A$5:$A$204,$A133,'Gate Checklist'!$B$5:$B$204,0,'Gate Checklist'!$D$5:$D$204,"Pass")+COUNTIFS('Gate Checklist'!$A$5:$A$204,$A133,'Gate Checklist'!$B$5:$B$204,1,'Gate Checklist'!$D$5:$D$204,"Pass")&gt;0,"IN PROGRESS","NOT ASSESSED"))))</x:f>
      </x:c>
      <x:c r="P133" s="82"/>
      <x:c r="Q133" s="82"/>
      <x:c r="R133" s="83"/>
      <x:c r="S133" s="82"/>
    </x:row>
    <x:row r="134">
      <x:c r="K134" s="82"/>
      <x:c r="L134" s="82"/>
      <x:c r="M134" s="82"/>
      <x:c r="N134" s="83" t="str">
        <x:f>IF($A134="","",IF(OR($K134="",$L134="",$M134="") ,"",SUM($K134:$L134)+6-$M134))</x:f>
      </x:c>
      <x:c r="O134" s="83" t="str">
        <x:f>IF($A134="","",IF(COUNTIFS('Gate Checklist'!$A$5:$A$204,$A134,'Gate Checklist'!$B$5:$B$204,0,'Gate Checklist'!$D$5:$D$204,"Fail")+COUNTIFS('Gate Checklist'!$A$5:$A$204,$A134,'Gate Checklist'!$B$5:$B$204,1,'Gate Checklist'!$D$5:$D$204,"Fail")&gt;0,"BLOCKED",IF(AND(COUNTIFS('Gate Checklist'!$A$5:$A$204,$A134,'Gate Checklist'!$B$5:$B$204,0,'Gate Checklist'!$D$5:$D$204,"Pass")&gt;0,COUNTIFS('Gate Checklist'!$A$5:$A$204,$A134,'Gate Checklist'!$B$5:$B$204,1,'Gate Checklist'!$D$5:$D$204,"Pass")&gt;0),IF($P134="Ready for mapping","READY FOR MAPPING",IF($P134="Ready with remediation","READY WITH REMEDIATION",IF($P134="Deferred","DEFERRED","DISPOSITION REQUIRED"))),IF(COUNTIFS('Gate Checklist'!$A$5:$A$204,$A134,'Gate Checklist'!$B$5:$B$204,0,'Gate Checklist'!$D$5:$D$204,"Pass")+COUNTIFS('Gate Checklist'!$A$5:$A$204,$A134,'Gate Checklist'!$B$5:$B$204,1,'Gate Checklist'!$D$5:$D$204,"Pass")&gt;0,"IN PROGRESS","NOT ASSESSED"))))</x:f>
      </x:c>
      <x:c r="P134" s="82"/>
      <x:c r="Q134" s="82"/>
      <x:c r="R134" s="83"/>
      <x:c r="S134" s="82"/>
    </x:row>
    <x:row r="135">
      <x:c r="K135" s="82"/>
      <x:c r="L135" s="82"/>
      <x:c r="M135" s="82"/>
      <x:c r="N135" s="83" t="str">
        <x:f>IF($A135="","",IF(OR($K135="",$L135="",$M135="") ,"",SUM($K135:$L135)+6-$M135))</x:f>
      </x:c>
      <x:c r="O135" s="83" t="str">
        <x:f>IF($A135="","",IF(COUNTIFS('Gate Checklist'!$A$5:$A$204,$A135,'Gate Checklist'!$B$5:$B$204,0,'Gate Checklist'!$D$5:$D$204,"Fail")+COUNTIFS('Gate Checklist'!$A$5:$A$204,$A135,'Gate Checklist'!$B$5:$B$204,1,'Gate Checklist'!$D$5:$D$204,"Fail")&gt;0,"BLOCKED",IF(AND(COUNTIFS('Gate Checklist'!$A$5:$A$204,$A135,'Gate Checklist'!$B$5:$B$204,0,'Gate Checklist'!$D$5:$D$204,"Pass")&gt;0,COUNTIFS('Gate Checklist'!$A$5:$A$204,$A135,'Gate Checklist'!$B$5:$B$204,1,'Gate Checklist'!$D$5:$D$204,"Pass")&gt;0),IF($P135="Ready for mapping","READY FOR MAPPING",IF($P135="Ready with remediation","READY WITH REMEDIATION",IF($P135="Deferred","DEFERRED","DISPOSITION REQUIRED"))),IF(COUNTIFS('Gate Checklist'!$A$5:$A$204,$A135,'Gate Checklist'!$B$5:$B$204,0,'Gate Checklist'!$D$5:$D$204,"Pass")+COUNTIFS('Gate Checklist'!$A$5:$A$204,$A135,'Gate Checklist'!$B$5:$B$204,1,'Gate Checklist'!$D$5:$D$204,"Pass")&gt;0,"IN PROGRESS","NOT ASSESSED"))))</x:f>
      </x:c>
      <x:c r="P135" s="82"/>
      <x:c r="Q135" s="82"/>
      <x:c r="R135" s="83"/>
      <x:c r="S135" s="82"/>
    </x:row>
    <x:row r="136">
      <x:c r="K136" s="82"/>
      <x:c r="L136" s="82"/>
      <x:c r="M136" s="82"/>
      <x:c r="N136" s="83" t="str">
        <x:f>IF($A136="","",IF(OR($K136="",$L136="",$M136="") ,"",SUM($K136:$L136)+6-$M136))</x:f>
      </x:c>
      <x:c r="O136" s="83" t="str">
        <x:f>IF($A136="","",IF(COUNTIFS('Gate Checklist'!$A$5:$A$204,$A136,'Gate Checklist'!$B$5:$B$204,0,'Gate Checklist'!$D$5:$D$204,"Fail")+COUNTIFS('Gate Checklist'!$A$5:$A$204,$A136,'Gate Checklist'!$B$5:$B$204,1,'Gate Checklist'!$D$5:$D$204,"Fail")&gt;0,"BLOCKED",IF(AND(COUNTIFS('Gate Checklist'!$A$5:$A$204,$A136,'Gate Checklist'!$B$5:$B$204,0,'Gate Checklist'!$D$5:$D$204,"Pass")&gt;0,COUNTIFS('Gate Checklist'!$A$5:$A$204,$A136,'Gate Checklist'!$B$5:$B$204,1,'Gate Checklist'!$D$5:$D$204,"Pass")&gt;0),IF($P136="Ready for mapping","READY FOR MAPPING",IF($P136="Ready with remediation","READY WITH REMEDIATION",IF($P136="Deferred","DEFERRED","DISPOSITION REQUIRED"))),IF(COUNTIFS('Gate Checklist'!$A$5:$A$204,$A136,'Gate Checklist'!$B$5:$B$204,0,'Gate Checklist'!$D$5:$D$204,"Pass")+COUNTIFS('Gate Checklist'!$A$5:$A$204,$A136,'Gate Checklist'!$B$5:$B$204,1,'Gate Checklist'!$D$5:$D$204,"Pass")&gt;0,"IN PROGRESS","NOT ASSESSED"))))</x:f>
      </x:c>
      <x:c r="P136" s="82"/>
      <x:c r="Q136" s="82"/>
      <x:c r="R136" s="83"/>
      <x:c r="S136" s="82"/>
    </x:row>
    <x:row r="137">
      <x:c r="K137" s="82"/>
      <x:c r="L137" s="82"/>
      <x:c r="M137" s="82"/>
      <x:c r="N137" s="83" t="str">
        <x:f>IF($A137="","",IF(OR($K137="",$L137="",$M137="") ,"",SUM($K137:$L137)+6-$M137))</x:f>
      </x:c>
      <x:c r="O137" s="83" t="str">
        <x:f>IF($A137="","",IF(COUNTIFS('Gate Checklist'!$A$5:$A$204,$A137,'Gate Checklist'!$B$5:$B$204,0,'Gate Checklist'!$D$5:$D$204,"Fail")+COUNTIFS('Gate Checklist'!$A$5:$A$204,$A137,'Gate Checklist'!$B$5:$B$204,1,'Gate Checklist'!$D$5:$D$204,"Fail")&gt;0,"BLOCKED",IF(AND(COUNTIFS('Gate Checklist'!$A$5:$A$204,$A137,'Gate Checklist'!$B$5:$B$204,0,'Gate Checklist'!$D$5:$D$204,"Pass")&gt;0,COUNTIFS('Gate Checklist'!$A$5:$A$204,$A137,'Gate Checklist'!$B$5:$B$204,1,'Gate Checklist'!$D$5:$D$204,"Pass")&gt;0),IF($P137="Ready for mapping","READY FOR MAPPING",IF($P137="Ready with remediation","READY WITH REMEDIATION",IF($P137="Deferred","DEFERRED","DISPOSITION REQUIRED"))),IF(COUNTIFS('Gate Checklist'!$A$5:$A$204,$A137,'Gate Checklist'!$B$5:$B$204,0,'Gate Checklist'!$D$5:$D$204,"Pass")+COUNTIFS('Gate Checklist'!$A$5:$A$204,$A137,'Gate Checklist'!$B$5:$B$204,1,'Gate Checklist'!$D$5:$D$204,"Pass")&gt;0,"IN PROGRESS","NOT ASSESSED"))))</x:f>
      </x:c>
      <x:c r="P137" s="82"/>
      <x:c r="Q137" s="82"/>
      <x:c r="R137" s="83"/>
      <x:c r="S137" s="82"/>
    </x:row>
    <x:row r="138">
      <x:c r="K138" s="82"/>
      <x:c r="L138" s="82"/>
      <x:c r="M138" s="82"/>
      <x:c r="N138" s="83" t="str">
        <x:f>IF($A138="","",IF(OR($K138="",$L138="",$M138="") ,"",SUM($K138:$L138)+6-$M138))</x:f>
      </x:c>
      <x:c r="O138" s="83" t="str">
        <x:f>IF($A138="","",IF(COUNTIFS('Gate Checklist'!$A$5:$A$204,$A138,'Gate Checklist'!$B$5:$B$204,0,'Gate Checklist'!$D$5:$D$204,"Fail")+COUNTIFS('Gate Checklist'!$A$5:$A$204,$A138,'Gate Checklist'!$B$5:$B$204,1,'Gate Checklist'!$D$5:$D$204,"Fail")&gt;0,"BLOCKED",IF(AND(COUNTIFS('Gate Checklist'!$A$5:$A$204,$A138,'Gate Checklist'!$B$5:$B$204,0,'Gate Checklist'!$D$5:$D$204,"Pass")&gt;0,COUNTIFS('Gate Checklist'!$A$5:$A$204,$A138,'Gate Checklist'!$B$5:$B$204,1,'Gate Checklist'!$D$5:$D$204,"Pass")&gt;0),IF($P138="Ready for mapping","READY FOR MAPPING",IF($P138="Ready with remediation","READY WITH REMEDIATION",IF($P138="Deferred","DEFERRED","DISPOSITION REQUIRED"))),IF(COUNTIFS('Gate Checklist'!$A$5:$A$204,$A138,'Gate Checklist'!$B$5:$B$204,0,'Gate Checklist'!$D$5:$D$204,"Pass")+COUNTIFS('Gate Checklist'!$A$5:$A$204,$A138,'Gate Checklist'!$B$5:$B$204,1,'Gate Checklist'!$D$5:$D$204,"Pass")&gt;0,"IN PROGRESS","NOT ASSESSED"))))</x:f>
      </x:c>
      <x:c r="P138" s="82"/>
      <x:c r="Q138" s="82"/>
      <x:c r="R138" s="83"/>
      <x:c r="S138" s="82"/>
    </x:row>
    <x:row r="139">
      <x:c r="K139" s="82"/>
      <x:c r="L139" s="82"/>
      <x:c r="M139" s="82"/>
      <x:c r="N139" s="83" t="str">
        <x:f>IF($A139="","",IF(OR($K139="",$L139="",$M139="") ,"",SUM($K139:$L139)+6-$M139))</x:f>
      </x:c>
      <x:c r="O139" s="83" t="str">
        <x:f>IF($A139="","",IF(COUNTIFS('Gate Checklist'!$A$5:$A$204,$A139,'Gate Checklist'!$B$5:$B$204,0,'Gate Checklist'!$D$5:$D$204,"Fail")+COUNTIFS('Gate Checklist'!$A$5:$A$204,$A139,'Gate Checklist'!$B$5:$B$204,1,'Gate Checklist'!$D$5:$D$204,"Fail")&gt;0,"BLOCKED",IF(AND(COUNTIFS('Gate Checklist'!$A$5:$A$204,$A139,'Gate Checklist'!$B$5:$B$204,0,'Gate Checklist'!$D$5:$D$204,"Pass")&gt;0,COUNTIFS('Gate Checklist'!$A$5:$A$204,$A139,'Gate Checklist'!$B$5:$B$204,1,'Gate Checklist'!$D$5:$D$204,"Pass")&gt;0),IF($P139="Ready for mapping","READY FOR MAPPING",IF($P139="Ready with remediation","READY WITH REMEDIATION",IF($P139="Deferred","DEFERRED","DISPOSITION REQUIRED"))),IF(COUNTIFS('Gate Checklist'!$A$5:$A$204,$A139,'Gate Checklist'!$B$5:$B$204,0,'Gate Checklist'!$D$5:$D$204,"Pass")+COUNTIFS('Gate Checklist'!$A$5:$A$204,$A139,'Gate Checklist'!$B$5:$B$204,1,'Gate Checklist'!$D$5:$D$204,"Pass")&gt;0,"IN PROGRESS","NOT ASSESSED"))))</x:f>
      </x:c>
      <x:c r="P139" s="82"/>
      <x:c r="Q139" s="82"/>
      <x:c r="R139" s="83"/>
      <x:c r="S139" s="82"/>
    </x:row>
    <x:row r="140">
      <x:c r="K140" s="82"/>
      <x:c r="L140" s="82"/>
      <x:c r="M140" s="82"/>
      <x:c r="N140" s="83" t="str">
        <x:f>IF($A140="","",IF(OR($K140="",$L140="",$M140="") ,"",SUM($K140:$L140)+6-$M140))</x:f>
      </x:c>
      <x:c r="O140" s="83" t="str">
        <x:f>IF($A140="","",IF(COUNTIFS('Gate Checklist'!$A$5:$A$204,$A140,'Gate Checklist'!$B$5:$B$204,0,'Gate Checklist'!$D$5:$D$204,"Fail")+COUNTIFS('Gate Checklist'!$A$5:$A$204,$A140,'Gate Checklist'!$B$5:$B$204,1,'Gate Checklist'!$D$5:$D$204,"Fail")&gt;0,"BLOCKED",IF(AND(COUNTIFS('Gate Checklist'!$A$5:$A$204,$A140,'Gate Checklist'!$B$5:$B$204,0,'Gate Checklist'!$D$5:$D$204,"Pass")&gt;0,COUNTIFS('Gate Checklist'!$A$5:$A$204,$A140,'Gate Checklist'!$B$5:$B$204,1,'Gate Checklist'!$D$5:$D$204,"Pass")&gt;0),IF($P140="Ready for mapping","READY FOR MAPPING",IF($P140="Ready with remediation","READY WITH REMEDIATION",IF($P140="Deferred","DEFERRED","DISPOSITION REQUIRED"))),IF(COUNTIFS('Gate Checklist'!$A$5:$A$204,$A140,'Gate Checklist'!$B$5:$B$204,0,'Gate Checklist'!$D$5:$D$204,"Pass")+COUNTIFS('Gate Checklist'!$A$5:$A$204,$A140,'Gate Checklist'!$B$5:$B$204,1,'Gate Checklist'!$D$5:$D$204,"Pass")&gt;0,"IN PROGRESS","NOT ASSESSED"))))</x:f>
      </x:c>
      <x:c r="P140" s="82"/>
      <x:c r="Q140" s="82"/>
      <x:c r="R140" s="83"/>
      <x:c r="S140" s="82"/>
    </x:row>
    <x:row r="141">
      <x:c r="K141" s="82"/>
      <x:c r="L141" s="82"/>
      <x:c r="M141" s="82"/>
      <x:c r="N141" s="83" t="str">
        <x:f>IF($A141="","",IF(OR($K141="",$L141="",$M141="") ,"",SUM($K141:$L141)+6-$M141))</x:f>
      </x:c>
      <x:c r="O141" s="83" t="str">
        <x:f>IF($A141="","",IF(COUNTIFS('Gate Checklist'!$A$5:$A$204,$A141,'Gate Checklist'!$B$5:$B$204,0,'Gate Checklist'!$D$5:$D$204,"Fail")+COUNTIFS('Gate Checklist'!$A$5:$A$204,$A141,'Gate Checklist'!$B$5:$B$204,1,'Gate Checklist'!$D$5:$D$204,"Fail")&gt;0,"BLOCKED",IF(AND(COUNTIFS('Gate Checklist'!$A$5:$A$204,$A141,'Gate Checklist'!$B$5:$B$204,0,'Gate Checklist'!$D$5:$D$204,"Pass")&gt;0,COUNTIFS('Gate Checklist'!$A$5:$A$204,$A141,'Gate Checklist'!$B$5:$B$204,1,'Gate Checklist'!$D$5:$D$204,"Pass")&gt;0),IF($P141="Ready for mapping","READY FOR MAPPING",IF($P141="Ready with remediation","READY WITH REMEDIATION",IF($P141="Deferred","DEFERRED","DISPOSITION REQUIRED"))),IF(COUNTIFS('Gate Checklist'!$A$5:$A$204,$A141,'Gate Checklist'!$B$5:$B$204,0,'Gate Checklist'!$D$5:$D$204,"Pass")+COUNTIFS('Gate Checklist'!$A$5:$A$204,$A141,'Gate Checklist'!$B$5:$B$204,1,'Gate Checklist'!$D$5:$D$204,"Pass")&gt;0,"IN PROGRESS","NOT ASSESSED"))))</x:f>
      </x:c>
      <x:c r="P141" s="82"/>
      <x:c r="Q141" s="82"/>
      <x:c r="R141" s="83"/>
      <x:c r="S141" s="82"/>
    </x:row>
    <x:row r="142">
      <x:c r="K142" s="82"/>
      <x:c r="L142" s="82"/>
      <x:c r="M142" s="82"/>
      <x:c r="N142" s="83" t="str">
        <x:f>IF($A142="","",IF(OR($K142="",$L142="",$M142="") ,"",SUM($K142:$L142)+6-$M142))</x:f>
      </x:c>
      <x:c r="O142" s="83" t="str">
        <x:f>IF($A142="","",IF(COUNTIFS('Gate Checklist'!$A$5:$A$204,$A142,'Gate Checklist'!$B$5:$B$204,0,'Gate Checklist'!$D$5:$D$204,"Fail")+COUNTIFS('Gate Checklist'!$A$5:$A$204,$A142,'Gate Checklist'!$B$5:$B$204,1,'Gate Checklist'!$D$5:$D$204,"Fail")&gt;0,"BLOCKED",IF(AND(COUNTIFS('Gate Checklist'!$A$5:$A$204,$A142,'Gate Checklist'!$B$5:$B$204,0,'Gate Checklist'!$D$5:$D$204,"Pass")&gt;0,COUNTIFS('Gate Checklist'!$A$5:$A$204,$A142,'Gate Checklist'!$B$5:$B$204,1,'Gate Checklist'!$D$5:$D$204,"Pass")&gt;0),IF($P142="Ready for mapping","READY FOR MAPPING",IF($P142="Ready with remediation","READY WITH REMEDIATION",IF($P142="Deferred","DEFERRED","DISPOSITION REQUIRED"))),IF(COUNTIFS('Gate Checklist'!$A$5:$A$204,$A142,'Gate Checklist'!$B$5:$B$204,0,'Gate Checklist'!$D$5:$D$204,"Pass")+COUNTIFS('Gate Checklist'!$A$5:$A$204,$A142,'Gate Checklist'!$B$5:$B$204,1,'Gate Checklist'!$D$5:$D$204,"Pass")&gt;0,"IN PROGRESS","NOT ASSESSED"))))</x:f>
      </x:c>
      <x:c r="P142" s="82"/>
      <x:c r="Q142" s="82"/>
      <x:c r="R142" s="83"/>
      <x:c r="S142" s="82"/>
    </x:row>
    <x:row r="143">
      <x:c r="K143" s="82"/>
      <x:c r="L143" s="82"/>
      <x:c r="M143" s="82"/>
      <x:c r="N143" s="83" t="str">
        <x:f>IF($A143="","",IF(OR($K143="",$L143="",$M143="") ,"",SUM($K143:$L143)+6-$M143))</x:f>
      </x:c>
      <x:c r="O143" s="83" t="str">
        <x:f>IF($A143="","",IF(COUNTIFS('Gate Checklist'!$A$5:$A$204,$A143,'Gate Checklist'!$B$5:$B$204,0,'Gate Checklist'!$D$5:$D$204,"Fail")+COUNTIFS('Gate Checklist'!$A$5:$A$204,$A143,'Gate Checklist'!$B$5:$B$204,1,'Gate Checklist'!$D$5:$D$204,"Fail")&gt;0,"BLOCKED",IF(AND(COUNTIFS('Gate Checklist'!$A$5:$A$204,$A143,'Gate Checklist'!$B$5:$B$204,0,'Gate Checklist'!$D$5:$D$204,"Pass")&gt;0,COUNTIFS('Gate Checklist'!$A$5:$A$204,$A143,'Gate Checklist'!$B$5:$B$204,1,'Gate Checklist'!$D$5:$D$204,"Pass")&gt;0),IF($P143="Ready for mapping","READY FOR MAPPING",IF($P143="Ready with remediation","READY WITH REMEDIATION",IF($P143="Deferred","DEFERRED","DISPOSITION REQUIRED"))),IF(COUNTIFS('Gate Checklist'!$A$5:$A$204,$A143,'Gate Checklist'!$B$5:$B$204,0,'Gate Checklist'!$D$5:$D$204,"Pass")+COUNTIFS('Gate Checklist'!$A$5:$A$204,$A143,'Gate Checklist'!$B$5:$B$204,1,'Gate Checklist'!$D$5:$D$204,"Pass")&gt;0,"IN PROGRESS","NOT ASSESSED"))))</x:f>
      </x:c>
      <x:c r="P143" s="82"/>
      <x:c r="Q143" s="82"/>
      <x:c r="R143" s="83"/>
      <x:c r="S143" s="82"/>
    </x:row>
    <x:row r="144">
      <x:c r="K144" s="82"/>
      <x:c r="L144" s="82"/>
      <x:c r="M144" s="82"/>
      <x:c r="N144" s="83" t="str">
        <x:f>IF($A144="","",IF(OR($K144="",$L144="",$M144="") ,"",SUM($K144:$L144)+6-$M144))</x:f>
      </x:c>
      <x:c r="O144" s="83" t="str">
        <x:f>IF($A144="","",IF(COUNTIFS('Gate Checklist'!$A$5:$A$204,$A144,'Gate Checklist'!$B$5:$B$204,0,'Gate Checklist'!$D$5:$D$204,"Fail")+COUNTIFS('Gate Checklist'!$A$5:$A$204,$A144,'Gate Checklist'!$B$5:$B$204,1,'Gate Checklist'!$D$5:$D$204,"Fail")&gt;0,"BLOCKED",IF(AND(COUNTIFS('Gate Checklist'!$A$5:$A$204,$A144,'Gate Checklist'!$B$5:$B$204,0,'Gate Checklist'!$D$5:$D$204,"Pass")&gt;0,COUNTIFS('Gate Checklist'!$A$5:$A$204,$A144,'Gate Checklist'!$B$5:$B$204,1,'Gate Checklist'!$D$5:$D$204,"Pass")&gt;0),IF($P144="Ready for mapping","READY FOR MAPPING",IF($P144="Ready with remediation","READY WITH REMEDIATION",IF($P144="Deferred","DEFERRED","DISPOSITION REQUIRED"))),IF(COUNTIFS('Gate Checklist'!$A$5:$A$204,$A144,'Gate Checklist'!$B$5:$B$204,0,'Gate Checklist'!$D$5:$D$204,"Pass")+COUNTIFS('Gate Checklist'!$A$5:$A$204,$A144,'Gate Checklist'!$B$5:$B$204,1,'Gate Checklist'!$D$5:$D$204,"Pass")&gt;0,"IN PROGRESS","NOT ASSESSED"))))</x:f>
      </x:c>
      <x:c r="P144" s="82"/>
      <x:c r="Q144" s="82"/>
      <x:c r="R144" s="83"/>
      <x:c r="S144" s="82"/>
    </x:row>
    <x:row r="145">
      <x:c r="K145" s="82"/>
      <x:c r="L145" s="82"/>
      <x:c r="M145" s="82"/>
      <x:c r="N145" s="83" t="str">
        <x:f>IF($A145="","",IF(OR($K145="",$L145="",$M145="") ,"",SUM($K145:$L145)+6-$M145))</x:f>
      </x:c>
      <x:c r="O145" s="83" t="str">
        <x:f>IF($A145="","",IF(COUNTIFS('Gate Checklist'!$A$5:$A$204,$A145,'Gate Checklist'!$B$5:$B$204,0,'Gate Checklist'!$D$5:$D$204,"Fail")+COUNTIFS('Gate Checklist'!$A$5:$A$204,$A145,'Gate Checklist'!$B$5:$B$204,1,'Gate Checklist'!$D$5:$D$204,"Fail")&gt;0,"BLOCKED",IF(AND(COUNTIFS('Gate Checklist'!$A$5:$A$204,$A145,'Gate Checklist'!$B$5:$B$204,0,'Gate Checklist'!$D$5:$D$204,"Pass")&gt;0,COUNTIFS('Gate Checklist'!$A$5:$A$204,$A145,'Gate Checklist'!$B$5:$B$204,1,'Gate Checklist'!$D$5:$D$204,"Pass")&gt;0),IF($P145="Ready for mapping","READY FOR MAPPING",IF($P145="Ready with remediation","READY WITH REMEDIATION",IF($P145="Deferred","DEFERRED","DISPOSITION REQUIRED"))),IF(COUNTIFS('Gate Checklist'!$A$5:$A$204,$A145,'Gate Checklist'!$B$5:$B$204,0,'Gate Checklist'!$D$5:$D$204,"Pass")+COUNTIFS('Gate Checklist'!$A$5:$A$204,$A145,'Gate Checklist'!$B$5:$B$204,1,'Gate Checklist'!$D$5:$D$204,"Pass")&gt;0,"IN PROGRESS","NOT ASSESSED"))))</x:f>
      </x:c>
      <x:c r="P145" s="82"/>
      <x:c r="Q145" s="82"/>
      <x:c r="R145" s="83"/>
      <x:c r="S145" s="82"/>
    </x:row>
    <x:row r="146">
      <x:c r="K146" s="82"/>
      <x:c r="L146" s="82"/>
      <x:c r="M146" s="82"/>
      <x:c r="N146" s="83" t="str">
        <x:f>IF($A146="","",IF(OR($K146="",$L146="",$M146="") ,"",SUM($K146:$L146)+6-$M146))</x:f>
      </x:c>
      <x:c r="O146" s="83" t="str">
        <x:f>IF($A146="","",IF(COUNTIFS('Gate Checklist'!$A$5:$A$204,$A146,'Gate Checklist'!$B$5:$B$204,0,'Gate Checklist'!$D$5:$D$204,"Fail")+COUNTIFS('Gate Checklist'!$A$5:$A$204,$A146,'Gate Checklist'!$B$5:$B$204,1,'Gate Checklist'!$D$5:$D$204,"Fail")&gt;0,"BLOCKED",IF(AND(COUNTIFS('Gate Checklist'!$A$5:$A$204,$A146,'Gate Checklist'!$B$5:$B$204,0,'Gate Checklist'!$D$5:$D$204,"Pass")&gt;0,COUNTIFS('Gate Checklist'!$A$5:$A$204,$A146,'Gate Checklist'!$B$5:$B$204,1,'Gate Checklist'!$D$5:$D$204,"Pass")&gt;0),IF($P146="Ready for mapping","READY FOR MAPPING",IF($P146="Ready with remediation","READY WITH REMEDIATION",IF($P146="Deferred","DEFERRED","DISPOSITION REQUIRED"))),IF(COUNTIFS('Gate Checklist'!$A$5:$A$204,$A146,'Gate Checklist'!$B$5:$B$204,0,'Gate Checklist'!$D$5:$D$204,"Pass")+COUNTIFS('Gate Checklist'!$A$5:$A$204,$A146,'Gate Checklist'!$B$5:$B$204,1,'Gate Checklist'!$D$5:$D$204,"Pass")&gt;0,"IN PROGRESS","NOT ASSESSED"))))</x:f>
      </x:c>
      <x:c r="P146" s="82"/>
      <x:c r="Q146" s="82"/>
      <x:c r="R146" s="83"/>
      <x:c r="S146" s="82"/>
    </x:row>
    <x:row r="147">
      <x:c r="K147" s="82"/>
      <x:c r="L147" s="82"/>
      <x:c r="M147" s="82"/>
      <x:c r="N147" s="83" t="str">
        <x:f>IF($A147="","",IF(OR($K147="",$L147="",$M147="") ,"",SUM($K147:$L147)+6-$M147))</x:f>
      </x:c>
      <x:c r="O147" s="83" t="str">
        <x:f>IF($A147="","",IF(COUNTIFS('Gate Checklist'!$A$5:$A$204,$A147,'Gate Checklist'!$B$5:$B$204,0,'Gate Checklist'!$D$5:$D$204,"Fail")+COUNTIFS('Gate Checklist'!$A$5:$A$204,$A147,'Gate Checklist'!$B$5:$B$204,1,'Gate Checklist'!$D$5:$D$204,"Fail")&gt;0,"BLOCKED",IF(AND(COUNTIFS('Gate Checklist'!$A$5:$A$204,$A147,'Gate Checklist'!$B$5:$B$204,0,'Gate Checklist'!$D$5:$D$204,"Pass")&gt;0,COUNTIFS('Gate Checklist'!$A$5:$A$204,$A147,'Gate Checklist'!$B$5:$B$204,1,'Gate Checklist'!$D$5:$D$204,"Pass")&gt;0),IF($P147="Ready for mapping","READY FOR MAPPING",IF($P147="Ready with remediation","READY WITH REMEDIATION",IF($P147="Deferred","DEFERRED","DISPOSITION REQUIRED"))),IF(COUNTIFS('Gate Checklist'!$A$5:$A$204,$A147,'Gate Checklist'!$B$5:$B$204,0,'Gate Checklist'!$D$5:$D$204,"Pass")+COUNTIFS('Gate Checklist'!$A$5:$A$204,$A147,'Gate Checklist'!$B$5:$B$204,1,'Gate Checklist'!$D$5:$D$204,"Pass")&gt;0,"IN PROGRESS","NOT ASSESSED"))))</x:f>
      </x:c>
      <x:c r="P147" s="82"/>
      <x:c r="Q147" s="82"/>
      <x:c r="R147" s="83"/>
      <x:c r="S147" s="82"/>
    </x:row>
    <x:row r="148">
      <x:c r="K148" s="82"/>
      <x:c r="L148" s="82"/>
      <x:c r="M148" s="82"/>
      <x:c r="N148" s="83" t="str">
        <x:f>IF($A148="","",IF(OR($K148="",$L148="",$M148="") ,"",SUM($K148:$L148)+6-$M148))</x:f>
      </x:c>
      <x:c r="O148" s="83" t="str">
        <x:f>IF($A148="","",IF(COUNTIFS('Gate Checklist'!$A$5:$A$204,$A148,'Gate Checklist'!$B$5:$B$204,0,'Gate Checklist'!$D$5:$D$204,"Fail")+COUNTIFS('Gate Checklist'!$A$5:$A$204,$A148,'Gate Checklist'!$B$5:$B$204,1,'Gate Checklist'!$D$5:$D$204,"Fail")&gt;0,"BLOCKED",IF(AND(COUNTIFS('Gate Checklist'!$A$5:$A$204,$A148,'Gate Checklist'!$B$5:$B$204,0,'Gate Checklist'!$D$5:$D$204,"Pass")&gt;0,COUNTIFS('Gate Checklist'!$A$5:$A$204,$A148,'Gate Checklist'!$B$5:$B$204,1,'Gate Checklist'!$D$5:$D$204,"Pass")&gt;0),IF($P148="Ready for mapping","READY FOR MAPPING",IF($P148="Ready with remediation","READY WITH REMEDIATION",IF($P148="Deferred","DEFERRED","DISPOSITION REQUIRED"))),IF(COUNTIFS('Gate Checklist'!$A$5:$A$204,$A148,'Gate Checklist'!$B$5:$B$204,0,'Gate Checklist'!$D$5:$D$204,"Pass")+COUNTIFS('Gate Checklist'!$A$5:$A$204,$A148,'Gate Checklist'!$B$5:$B$204,1,'Gate Checklist'!$D$5:$D$204,"Pass")&gt;0,"IN PROGRESS","NOT ASSESSED"))))</x:f>
      </x:c>
      <x:c r="P148" s="82"/>
      <x:c r="Q148" s="82"/>
      <x:c r="R148" s="83"/>
      <x:c r="S148" s="82"/>
    </x:row>
    <x:row r="149">
      <x:c r="K149" s="82"/>
      <x:c r="L149" s="82"/>
      <x:c r="M149" s="82"/>
      <x:c r="N149" s="83" t="str">
        <x:f>IF($A149="","",IF(OR($K149="",$L149="",$M149="") ,"",SUM($K149:$L149)+6-$M149))</x:f>
      </x:c>
      <x:c r="O149" s="83" t="str">
        <x:f>IF($A149="","",IF(COUNTIFS('Gate Checklist'!$A$5:$A$204,$A149,'Gate Checklist'!$B$5:$B$204,0,'Gate Checklist'!$D$5:$D$204,"Fail")+COUNTIFS('Gate Checklist'!$A$5:$A$204,$A149,'Gate Checklist'!$B$5:$B$204,1,'Gate Checklist'!$D$5:$D$204,"Fail")&gt;0,"BLOCKED",IF(AND(COUNTIFS('Gate Checklist'!$A$5:$A$204,$A149,'Gate Checklist'!$B$5:$B$204,0,'Gate Checklist'!$D$5:$D$204,"Pass")&gt;0,COUNTIFS('Gate Checklist'!$A$5:$A$204,$A149,'Gate Checklist'!$B$5:$B$204,1,'Gate Checklist'!$D$5:$D$204,"Pass")&gt;0),IF($P149="Ready for mapping","READY FOR MAPPING",IF($P149="Ready with remediation","READY WITH REMEDIATION",IF($P149="Deferred","DEFERRED","DISPOSITION REQUIRED"))),IF(COUNTIFS('Gate Checklist'!$A$5:$A$204,$A149,'Gate Checklist'!$B$5:$B$204,0,'Gate Checklist'!$D$5:$D$204,"Pass")+COUNTIFS('Gate Checklist'!$A$5:$A$204,$A149,'Gate Checklist'!$B$5:$B$204,1,'Gate Checklist'!$D$5:$D$204,"Pass")&gt;0,"IN PROGRESS","NOT ASSESSED"))))</x:f>
      </x:c>
      <x:c r="P149" s="82"/>
      <x:c r="Q149" s="82"/>
      <x:c r="R149" s="83"/>
      <x:c r="S149" s="82"/>
    </x:row>
    <x:row r="150">
      <x:c r="K150" s="82"/>
      <x:c r="L150" s="82"/>
      <x:c r="M150" s="82"/>
      <x:c r="N150" s="83" t="str">
        <x:f>IF($A150="","",IF(OR($K150="",$L150="",$M150="") ,"",SUM($K150:$L150)+6-$M150))</x:f>
      </x:c>
      <x:c r="O150" s="83" t="str">
        <x:f>IF($A150="","",IF(COUNTIFS('Gate Checklist'!$A$5:$A$204,$A150,'Gate Checklist'!$B$5:$B$204,0,'Gate Checklist'!$D$5:$D$204,"Fail")+COUNTIFS('Gate Checklist'!$A$5:$A$204,$A150,'Gate Checklist'!$B$5:$B$204,1,'Gate Checklist'!$D$5:$D$204,"Fail")&gt;0,"BLOCKED",IF(AND(COUNTIFS('Gate Checklist'!$A$5:$A$204,$A150,'Gate Checklist'!$B$5:$B$204,0,'Gate Checklist'!$D$5:$D$204,"Pass")&gt;0,COUNTIFS('Gate Checklist'!$A$5:$A$204,$A150,'Gate Checklist'!$B$5:$B$204,1,'Gate Checklist'!$D$5:$D$204,"Pass")&gt;0),IF($P150="Ready for mapping","READY FOR MAPPING",IF($P150="Ready with remediation","READY WITH REMEDIATION",IF($P150="Deferred","DEFERRED","DISPOSITION REQUIRED"))),IF(COUNTIFS('Gate Checklist'!$A$5:$A$204,$A150,'Gate Checklist'!$B$5:$B$204,0,'Gate Checklist'!$D$5:$D$204,"Pass")+COUNTIFS('Gate Checklist'!$A$5:$A$204,$A150,'Gate Checklist'!$B$5:$B$204,1,'Gate Checklist'!$D$5:$D$204,"Pass")&gt;0,"IN PROGRESS","NOT ASSESSED"))))</x:f>
      </x:c>
      <x:c r="P150" s="82"/>
      <x:c r="Q150" s="82"/>
      <x:c r="R150" s="83"/>
      <x:c r="S150" s="82"/>
    </x:row>
    <x:row r="151">
      <x:c r="K151" s="82"/>
      <x:c r="L151" s="82"/>
      <x:c r="M151" s="82"/>
      <x:c r="N151" s="83" t="str">
        <x:f>IF($A151="","",IF(OR($K151="",$L151="",$M151="") ,"",SUM($K151:$L151)+6-$M151))</x:f>
      </x:c>
      <x:c r="O151" s="83" t="str">
        <x:f>IF($A151="","",IF(COUNTIFS('Gate Checklist'!$A$5:$A$204,$A151,'Gate Checklist'!$B$5:$B$204,0,'Gate Checklist'!$D$5:$D$204,"Fail")+COUNTIFS('Gate Checklist'!$A$5:$A$204,$A151,'Gate Checklist'!$B$5:$B$204,1,'Gate Checklist'!$D$5:$D$204,"Fail")&gt;0,"BLOCKED",IF(AND(COUNTIFS('Gate Checklist'!$A$5:$A$204,$A151,'Gate Checklist'!$B$5:$B$204,0,'Gate Checklist'!$D$5:$D$204,"Pass")&gt;0,COUNTIFS('Gate Checklist'!$A$5:$A$204,$A151,'Gate Checklist'!$B$5:$B$204,1,'Gate Checklist'!$D$5:$D$204,"Pass")&gt;0),IF($P151="Ready for mapping","READY FOR MAPPING",IF($P151="Ready with remediation","READY WITH REMEDIATION",IF($P151="Deferred","DEFERRED","DISPOSITION REQUIRED"))),IF(COUNTIFS('Gate Checklist'!$A$5:$A$204,$A151,'Gate Checklist'!$B$5:$B$204,0,'Gate Checklist'!$D$5:$D$204,"Pass")+COUNTIFS('Gate Checklist'!$A$5:$A$204,$A151,'Gate Checklist'!$B$5:$B$204,1,'Gate Checklist'!$D$5:$D$204,"Pass")&gt;0,"IN PROGRESS","NOT ASSESSED"))))</x:f>
      </x:c>
      <x:c r="P151" s="82"/>
      <x:c r="Q151" s="82"/>
      <x:c r="R151" s="83"/>
      <x:c r="S151" s="82"/>
    </x:row>
    <x:row r="152">
      <x:c r="K152" s="82"/>
      <x:c r="L152" s="82"/>
      <x:c r="M152" s="82"/>
      <x:c r="N152" s="83" t="str">
        <x:f>IF($A152="","",IF(OR($K152="",$L152="",$M152="") ,"",SUM($K152:$L152)+6-$M152))</x:f>
      </x:c>
      <x:c r="O152" s="83" t="str">
        <x:f>IF($A152="","",IF(COUNTIFS('Gate Checklist'!$A$5:$A$204,$A152,'Gate Checklist'!$B$5:$B$204,0,'Gate Checklist'!$D$5:$D$204,"Fail")+COUNTIFS('Gate Checklist'!$A$5:$A$204,$A152,'Gate Checklist'!$B$5:$B$204,1,'Gate Checklist'!$D$5:$D$204,"Fail")&gt;0,"BLOCKED",IF(AND(COUNTIFS('Gate Checklist'!$A$5:$A$204,$A152,'Gate Checklist'!$B$5:$B$204,0,'Gate Checklist'!$D$5:$D$204,"Pass")&gt;0,COUNTIFS('Gate Checklist'!$A$5:$A$204,$A152,'Gate Checklist'!$B$5:$B$204,1,'Gate Checklist'!$D$5:$D$204,"Pass")&gt;0),IF($P152="Ready for mapping","READY FOR MAPPING",IF($P152="Ready with remediation","READY WITH REMEDIATION",IF($P152="Deferred","DEFERRED","DISPOSITION REQUIRED"))),IF(COUNTIFS('Gate Checklist'!$A$5:$A$204,$A152,'Gate Checklist'!$B$5:$B$204,0,'Gate Checklist'!$D$5:$D$204,"Pass")+COUNTIFS('Gate Checklist'!$A$5:$A$204,$A152,'Gate Checklist'!$B$5:$B$204,1,'Gate Checklist'!$D$5:$D$204,"Pass")&gt;0,"IN PROGRESS","NOT ASSESSED"))))</x:f>
      </x:c>
      <x:c r="P152" s="82"/>
      <x:c r="Q152" s="82"/>
      <x:c r="R152" s="83"/>
      <x:c r="S152" s="82"/>
    </x:row>
    <x:row r="153">
      <x:c r="K153" s="82"/>
      <x:c r="L153" s="82"/>
      <x:c r="M153" s="82"/>
      <x:c r="N153" s="83" t="str">
        <x:f>IF($A153="","",IF(OR($K153="",$L153="",$M153="") ,"",SUM($K153:$L153)+6-$M153))</x:f>
      </x:c>
      <x:c r="O153" s="83" t="str">
        <x:f>IF($A153="","",IF(COUNTIFS('Gate Checklist'!$A$5:$A$204,$A153,'Gate Checklist'!$B$5:$B$204,0,'Gate Checklist'!$D$5:$D$204,"Fail")+COUNTIFS('Gate Checklist'!$A$5:$A$204,$A153,'Gate Checklist'!$B$5:$B$204,1,'Gate Checklist'!$D$5:$D$204,"Fail")&gt;0,"BLOCKED",IF(AND(COUNTIFS('Gate Checklist'!$A$5:$A$204,$A153,'Gate Checklist'!$B$5:$B$204,0,'Gate Checklist'!$D$5:$D$204,"Pass")&gt;0,COUNTIFS('Gate Checklist'!$A$5:$A$204,$A153,'Gate Checklist'!$B$5:$B$204,1,'Gate Checklist'!$D$5:$D$204,"Pass")&gt;0),IF($P153="Ready for mapping","READY FOR MAPPING",IF($P153="Ready with remediation","READY WITH REMEDIATION",IF($P153="Deferred","DEFERRED","DISPOSITION REQUIRED"))),IF(COUNTIFS('Gate Checklist'!$A$5:$A$204,$A153,'Gate Checklist'!$B$5:$B$204,0,'Gate Checklist'!$D$5:$D$204,"Pass")+COUNTIFS('Gate Checklist'!$A$5:$A$204,$A153,'Gate Checklist'!$B$5:$B$204,1,'Gate Checklist'!$D$5:$D$204,"Pass")&gt;0,"IN PROGRESS","NOT ASSESSED"))))</x:f>
      </x:c>
      <x:c r="P153" s="82"/>
      <x:c r="Q153" s="82"/>
      <x:c r="R153" s="83"/>
      <x:c r="S153" s="82"/>
    </x:row>
    <x:row r="154">
      <x:c r="K154" s="82"/>
      <x:c r="L154" s="82"/>
      <x:c r="M154" s="82"/>
      <x:c r="N154" s="83" t="str">
        <x:f>IF($A154="","",IF(OR($K154="",$L154="",$M154="") ,"",SUM($K154:$L154)+6-$M154))</x:f>
      </x:c>
      <x:c r="O154" s="83" t="str">
        <x:f>IF($A154="","",IF(COUNTIFS('Gate Checklist'!$A$5:$A$204,$A154,'Gate Checklist'!$B$5:$B$204,0,'Gate Checklist'!$D$5:$D$204,"Fail")+COUNTIFS('Gate Checklist'!$A$5:$A$204,$A154,'Gate Checklist'!$B$5:$B$204,1,'Gate Checklist'!$D$5:$D$204,"Fail")&gt;0,"BLOCKED",IF(AND(COUNTIFS('Gate Checklist'!$A$5:$A$204,$A154,'Gate Checklist'!$B$5:$B$204,0,'Gate Checklist'!$D$5:$D$204,"Pass")&gt;0,COUNTIFS('Gate Checklist'!$A$5:$A$204,$A154,'Gate Checklist'!$B$5:$B$204,1,'Gate Checklist'!$D$5:$D$204,"Pass")&gt;0),IF($P154="Ready for mapping","READY FOR MAPPING",IF($P154="Ready with remediation","READY WITH REMEDIATION",IF($P154="Deferred","DEFERRED","DISPOSITION REQUIRED"))),IF(COUNTIFS('Gate Checklist'!$A$5:$A$204,$A154,'Gate Checklist'!$B$5:$B$204,0,'Gate Checklist'!$D$5:$D$204,"Pass")+COUNTIFS('Gate Checklist'!$A$5:$A$204,$A154,'Gate Checklist'!$B$5:$B$204,1,'Gate Checklist'!$D$5:$D$204,"Pass")&gt;0,"IN PROGRESS","NOT ASSESSED"))))</x:f>
      </x:c>
      <x:c r="P154" s="82"/>
      <x:c r="Q154" s="82"/>
      <x:c r="R154" s="83"/>
      <x:c r="S154" s="82"/>
    </x:row>
    <x:row r="155">
      <x:c r="K155" s="82"/>
      <x:c r="L155" s="82"/>
      <x:c r="M155" s="82"/>
      <x:c r="N155" s="83" t="str">
        <x:f>IF($A155="","",IF(OR($K155="",$L155="",$M155="") ,"",SUM($K155:$L155)+6-$M155))</x:f>
      </x:c>
      <x:c r="O155" s="83" t="str">
        <x:f>IF($A155="","",IF(COUNTIFS('Gate Checklist'!$A$5:$A$204,$A155,'Gate Checklist'!$B$5:$B$204,0,'Gate Checklist'!$D$5:$D$204,"Fail")+COUNTIFS('Gate Checklist'!$A$5:$A$204,$A155,'Gate Checklist'!$B$5:$B$204,1,'Gate Checklist'!$D$5:$D$204,"Fail")&gt;0,"BLOCKED",IF(AND(COUNTIFS('Gate Checklist'!$A$5:$A$204,$A155,'Gate Checklist'!$B$5:$B$204,0,'Gate Checklist'!$D$5:$D$204,"Pass")&gt;0,COUNTIFS('Gate Checklist'!$A$5:$A$204,$A155,'Gate Checklist'!$B$5:$B$204,1,'Gate Checklist'!$D$5:$D$204,"Pass")&gt;0),IF($P155="Ready for mapping","READY FOR MAPPING",IF($P155="Ready with remediation","READY WITH REMEDIATION",IF($P155="Deferred","DEFERRED","DISPOSITION REQUIRED"))),IF(COUNTIFS('Gate Checklist'!$A$5:$A$204,$A155,'Gate Checklist'!$B$5:$B$204,0,'Gate Checklist'!$D$5:$D$204,"Pass")+COUNTIFS('Gate Checklist'!$A$5:$A$204,$A155,'Gate Checklist'!$B$5:$B$204,1,'Gate Checklist'!$D$5:$D$204,"Pass")&gt;0,"IN PROGRESS","NOT ASSESSED"))))</x:f>
      </x:c>
      <x:c r="P155" s="82"/>
      <x:c r="Q155" s="82"/>
      <x:c r="R155" s="83"/>
      <x:c r="S155" s="82"/>
    </x:row>
    <x:row r="156">
      <x:c r="K156" s="82"/>
      <x:c r="L156" s="82"/>
      <x:c r="M156" s="82"/>
      <x:c r="N156" s="83" t="str">
        <x:f>IF($A156="","",IF(OR($K156="",$L156="",$M156="") ,"",SUM($K156:$L156)+6-$M156))</x:f>
      </x:c>
      <x:c r="O156" s="83" t="str">
        <x:f>IF($A156="","",IF(COUNTIFS('Gate Checklist'!$A$5:$A$204,$A156,'Gate Checklist'!$B$5:$B$204,0,'Gate Checklist'!$D$5:$D$204,"Fail")+COUNTIFS('Gate Checklist'!$A$5:$A$204,$A156,'Gate Checklist'!$B$5:$B$204,1,'Gate Checklist'!$D$5:$D$204,"Fail")&gt;0,"BLOCKED",IF(AND(COUNTIFS('Gate Checklist'!$A$5:$A$204,$A156,'Gate Checklist'!$B$5:$B$204,0,'Gate Checklist'!$D$5:$D$204,"Pass")&gt;0,COUNTIFS('Gate Checklist'!$A$5:$A$204,$A156,'Gate Checklist'!$B$5:$B$204,1,'Gate Checklist'!$D$5:$D$204,"Pass")&gt;0),IF($P156="Ready for mapping","READY FOR MAPPING",IF($P156="Ready with remediation","READY WITH REMEDIATION",IF($P156="Deferred","DEFERRED","DISPOSITION REQUIRED"))),IF(COUNTIFS('Gate Checklist'!$A$5:$A$204,$A156,'Gate Checklist'!$B$5:$B$204,0,'Gate Checklist'!$D$5:$D$204,"Pass")+COUNTIFS('Gate Checklist'!$A$5:$A$204,$A156,'Gate Checklist'!$B$5:$B$204,1,'Gate Checklist'!$D$5:$D$204,"Pass")&gt;0,"IN PROGRESS","NOT ASSESSED"))))</x:f>
      </x:c>
      <x:c r="P156" s="82"/>
      <x:c r="Q156" s="82"/>
      <x:c r="R156" s="83"/>
      <x:c r="S156" s="82"/>
    </x:row>
    <x:row r="157">
      <x:c r="K157" s="82"/>
      <x:c r="L157" s="82"/>
      <x:c r="M157" s="82"/>
      <x:c r="N157" s="83" t="str">
        <x:f>IF($A157="","",IF(OR($K157="",$L157="",$M157="") ,"",SUM($K157:$L157)+6-$M157))</x:f>
      </x:c>
      <x:c r="O157" s="83" t="str">
        <x:f>IF($A157="","",IF(COUNTIFS('Gate Checklist'!$A$5:$A$204,$A157,'Gate Checklist'!$B$5:$B$204,0,'Gate Checklist'!$D$5:$D$204,"Fail")+COUNTIFS('Gate Checklist'!$A$5:$A$204,$A157,'Gate Checklist'!$B$5:$B$204,1,'Gate Checklist'!$D$5:$D$204,"Fail")&gt;0,"BLOCKED",IF(AND(COUNTIFS('Gate Checklist'!$A$5:$A$204,$A157,'Gate Checklist'!$B$5:$B$204,0,'Gate Checklist'!$D$5:$D$204,"Pass")&gt;0,COUNTIFS('Gate Checklist'!$A$5:$A$204,$A157,'Gate Checklist'!$B$5:$B$204,1,'Gate Checklist'!$D$5:$D$204,"Pass")&gt;0),IF($P157="Ready for mapping","READY FOR MAPPING",IF($P157="Ready with remediation","READY WITH REMEDIATION",IF($P157="Deferred","DEFERRED","DISPOSITION REQUIRED"))),IF(COUNTIFS('Gate Checklist'!$A$5:$A$204,$A157,'Gate Checklist'!$B$5:$B$204,0,'Gate Checklist'!$D$5:$D$204,"Pass")+COUNTIFS('Gate Checklist'!$A$5:$A$204,$A157,'Gate Checklist'!$B$5:$B$204,1,'Gate Checklist'!$D$5:$D$204,"Pass")&gt;0,"IN PROGRESS","NOT ASSESSED"))))</x:f>
      </x:c>
      <x:c r="P157" s="82"/>
      <x:c r="Q157" s="82"/>
      <x:c r="R157" s="83"/>
      <x:c r="S157" s="82"/>
    </x:row>
    <x:row r="158">
      <x:c r="K158" s="82"/>
      <x:c r="L158" s="82"/>
      <x:c r="M158" s="82"/>
      <x:c r="N158" s="83" t="str">
        <x:f>IF($A158="","",IF(OR($K158="",$L158="",$M158="") ,"",SUM($K158:$L158)+6-$M158))</x:f>
      </x:c>
      <x:c r="O158" s="83" t="str">
        <x:f>IF($A158="","",IF(COUNTIFS('Gate Checklist'!$A$5:$A$204,$A158,'Gate Checklist'!$B$5:$B$204,0,'Gate Checklist'!$D$5:$D$204,"Fail")+COUNTIFS('Gate Checklist'!$A$5:$A$204,$A158,'Gate Checklist'!$B$5:$B$204,1,'Gate Checklist'!$D$5:$D$204,"Fail")&gt;0,"BLOCKED",IF(AND(COUNTIFS('Gate Checklist'!$A$5:$A$204,$A158,'Gate Checklist'!$B$5:$B$204,0,'Gate Checklist'!$D$5:$D$204,"Pass")&gt;0,COUNTIFS('Gate Checklist'!$A$5:$A$204,$A158,'Gate Checklist'!$B$5:$B$204,1,'Gate Checklist'!$D$5:$D$204,"Pass")&gt;0),IF($P158="Ready for mapping","READY FOR MAPPING",IF($P158="Ready with remediation","READY WITH REMEDIATION",IF($P158="Deferred","DEFERRED","DISPOSITION REQUIRED"))),IF(COUNTIFS('Gate Checklist'!$A$5:$A$204,$A158,'Gate Checklist'!$B$5:$B$204,0,'Gate Checklist'!$D$5:$D$204,"Pass")+COUNTIFS('Gate Checklist'!$A$5:$A$204,$A158,'Gate Checklist'!$B$5:$B$204,1,'Gate Checklist'!$D$5:$D$204,"Pass")&gt;0,"IN PROGRESS","NOT ASSESSED"))))</x:f>
      </x:c>
      <x:c r="P158" s="82"/>
      <x:c r="Q158" s="82"/>
      <x:c r="R158" s="83"/>
      <x:c r="S158" s="82"/>
    </x:row>
    <x:row r="159">
      <x:c r="K159" s="82"/>
      <x:c r="L159" s="82"/>
      <x:c r="M159" s="82"/>
      <x:c r="N159" s="83" t="str">
        <x:f>IF($A159="","",IF(OR($K159="",$L159="",$M159="") ,"",SUM($K159:$L159)+6-$M159))</x:f>
      </x:c>
      <x:c r="O159" s="83" t="str">
        <x:f>IF($A159="","",IF(COUNTIFS('Gate Checklist'!$A$5:$A$204,$A159,'Gate Checklist'!$B$5:$B$204,0,'Gate Checklist'!$D$5:$D$204,"Fail")+COUNTIFS('Gate Checklist'!$A$5:$A$204,$A159,'Gate Checklist'!$B$5:$B$204,1,'Gate Checklist'!$D$5:$D$204,"Fail")&gt;0,"BLOCKED",IF(AND(COUNTIFS('Gate Checklist'!$A$5:$A$204,$A159,'Gate Checklist'!$B$5:$B$204,0,'Gate Checklist'!$D$5:$D$204,"Pass")&gt;0,COUNTIFS('Gate Checklist'!$A$5:$A$204,$A159,'Gate Checklist'!$B$5:$B$204,1,'Gate Checklist'!$D$5:$D$204,"Pass")&gt;0),IF($P159="Ready for mapping","READY FOR MAPPING",IF($P159="Ready with remediation","READY WITH REMEDIATION",IF($P159="Deferred","DEFERRED","DISPOSITION REQUIRED"))),IF(COUNTIFS('Gate Checklist'!$A$5:$A$204,$A159,'Gate Checklist'!$B$5:$B$204,0,'Gate Checklist'!$D$5:$D$204,"Pass")+COUNTIFS('Gate Checklist'!$A$5:$A$204,$A159,'Gate Checklist'!$B$5:$B$204,1,'Gate Checklist'!$D$5:$D$204,"Pass")&gt;0,"IN PROGRESS","NOT ASSESSED"))))</x:f>
      </x:c>
      <x:c r="P159" s="82"/>
      <x:c r="Q159" s="82"/>
      <x:c r="R159" s="83"/>
      <x:c r="S159" s="82"/>
    </x:row>
    <x:row r="160">
      <x:c r="K160" s="82"/>
      <x:c r="L160" s="82"/>
      <x:c r="M160" s="82"/>
      <x:c r="N160" s="83" t="str">
        <x:f>IF($A160="","",IF(OR($K160="",$L160="",$M160="") ,"",SUM($K160:$L160)+6-$M160))</x:f>
      </x:c>
      <x:c r="O160" s="83" t="str">
        <x:f>IF($A160="","",IF(COUNTIFS('Gate Checklist'!$A$5:$A$204,$A160,'Gate Checklist'!$B$5:$B$204,0,'Gate Checklist'!$D$5:$D$204,"Fail")+COUNTIFS('Gate Checklist'!$A$5:$A$204,$A160,'Gate Checklist'!$B$5:$B$204,1,'Gate Checklist'!$D$5:$D$204,"Fail")&gt;0,"BLOCKED",IF(AND(COUNTIFS('Gate Checklist'!$A$5:$A$204,$A160,'Gate Checklist'!$B$5:$B$204,0,'Gate Checklist'!$D$5:$D$204,"Pass")&gt;0,COUNTIFS('Gate Checklist'!$A$5:$A$204,$A160,'Gate Checklist'!$B$5:$B$204,1,'Gate Checklist'!$D$5:$D$204,"Pass")&gt;0),IF($P160="Ready for mapping","READY FOR MAPPING",IF($P160="Ready with remediation","READY WITH REMEDIATION",IF($P160="Deferred","DEFERRED","DISPOSITION REQUIRED"))),IF(COUNTIFS('Gate Checklist'!$A$5:$A$204,$A160,'Gate Checklist'!$B$5:$B$204,0,'Gate Checklist'!$D$5:$D$204,"Pass")+COUNTIFS('Gate Checklist'!$A$5:$A$204,$A160,'Gate Checklist'!$B$5:$B$204,1,'Gate Checklist'!$D$5:$D$204,"Pass")&gt;0,"IN PROGRESS","NOT ASSESSED"))))</x:f>
      </x:c>
      <x:c r="P160" s="82"/>
      <x:c r="Q160" s="82"/>
      <x:c r="R160" s="83"/>
      <x:c r="S160" s="82"/>
    </x:row>
    <x:row r="161">
      <x:c r="K161" s="82"/>
      <x:c r="L161" s="82"/>
      <x:c r="M161" s="82"/>
      <x:c r="N161" s="83" t="str">
        <x:f>IF($A161="","",IF(OR($K161="",$L161="",$M161="") ,"",SUM($K161:$L161)+6-$M161))</x:f>
      </x:c>
      <x:c r="O161" s="83" t="str">
        <x:f>IF($A161="","",IF(COUNTIFS('Gate Checklist'!$A$5:$A$204,$A161,'Gate Checklist'!$B$5:$B$204,0,'Gate Checklist'!$D$5:$D$204,"Fail")+COUNTIFS('Gate Checklist'!$A$5:$A$204,$A161,'Gate Checklist'!$B$5:$B$204,1,'Gate Checklist'!$D$5:$D$204,"Fail")&gt;0,"BLOCKED",IF(AND(COUNTIFS('Gate Checklist'!$A$5:$A$204,$A161,'Gate Checklist'!$B$5:$B$204,0,'Gate Checklist'!$D$5:$D$204,"Pass")&gt;0,COUNTIFS('Gate Checklist'!$A$5:$A$204,$A161,'Gate Checklist'!$B$5:$B$204,1,'Gate Checklist'!$D$5:$D$204,"Pass")&gt;0),IF($P161="Ready for mapping","READY FOR MAPPING",IF($P161="Ready with remediation","READY WITH REMEDIATION",IF($P161="Deferred","DEFERRED","DISPOSITION REQUIRED"))),IF(COUNTIFS('Gate Checklist'!$A$5:$A$204,$A161,'Gate Checklist'!$B$5:$B$204,0,'Gate Checklist'!$D$5:$D$204,"Pass")+COUNTIFS('Gate Checklist'!$A$5:$A$204,$A161,'Gate Checklist'!$B$5:$B$204,1,'Gate Checklist'!$D$5:$D$204,"Pass")&gt;0,"IN PROGRESS","NOT ASSESSED"))))</x:f>
      </x:c>
      <x:c r="P161" s="82"/>
      <x:c r="Q161" s="82"/>
      <x:c r="R161" s="83"/>
      <x:c r="S161" s="82"/>
    </x:row>
    <x:row r="162">
      <x:c r="K162" s="82"/>
      <x:c r="L162" s="82"/>
      <x:c r="M162" s="82"/>
      <x:c r="N162" s="83" t="str">
        <x:f>IF($A162="","",IF(OR($K162="",$L162="",$M162="") ,"",SUM($K162:$L162)+6-$M162))</x:f>
      </x:c>
      <x:c r="O162" s="83" t="str">
        <x:f>IF($A162="","",IF(COUNTIFS('Gate Checklist'!$A$5:$A$204,$A162,'Gate Checklist'!$B$5:$B$204,0,'Gate Checklist'!$D$5:$D$204,"Fail")+COUNTIFS('Gate Checklist'!$A$5:$A$204,$A162,'Gate Checklist'!$B$5:$B$204,1,'Gate Checklist'!$D$5:$D$204,"Fail")&gt;0,"BLOCKED",IF(AND(COUNTIFS('Gate Checklist'!$A$5:$A$204,$A162,'Gate Checklist'!$B$5:$B$204,0,'Gate Checklist'!$D$5:$D$204,"Pass")&gt;0,COUNTIFS('Gate Checklist'!$A$5:$A$204,$A162,'Gate Checklist'!$B$5:$B$204,1,'Gate Checklist'!$D$5:$D$204,"Pass")&gt;0),IF($P162="Ready for mapping","READY FOR MAPPING",IF($P162="Ready with remediation","READY WITH REMEDIATION",IF($P162="Deferred","DEFERRED","DISPOSITION REQUIRED"))),IF(COUNTIFS('Gate Checklist'!$A$5:$A$204,$A162,'Gate Checklist'!$B$5:$B$204,0,'Gate Checklist'!$D$5:$D$204,"Pass")+COUNTIFS('Gate Checklist'!$A$5:$A$204,$A162,'Gate Checklist'!$B$5:$B$204,1,'Gate Checklist'!$D$5:$D$204,"Pass")&gt;0,"IN PROGRESS","NOT ASSESSED"))))</x:f>
      </x:c>
      <x:c r="P162" s="82"/>
      <x:c r="Q162" s="82"/>
      <x:c r="R162" s="83"/>
      <x:c r="S162" s="82"/>
    </x:row>
    <x:row r="163">
      <x:c r="K163" s="82"/>
      <x:c r="L163" s="82"/>
      <x:c r="M163" s="82"/>
      <x:c r="N163" s="83" t="str">
        <x:f>IF($A163="","",IF(OR($K163="",$L163="",$M163="") ,"",SUM($K163:$L163)+6-$M163))</x:f>
      </x:c>
      <x:c r="O163" s="83" t="str">
        <x:f>IF($A163="","",IF(COUNTIFS('Gate Checklist'!$A$5:$A$204,$A163,'Gate Checklist'!$B$5:$B$204,0,'Gate Checklist'!$D$5:$D$204,"Fail")+COUNTIFS('Gate Checklist'!$A$5:$A$204,$A163,'Gate Checklist'!$B$5:$B$204,1,'Gate Checklist'!$D$5:$D$204,"Fail")&gt;0,"BLOCKED",IF(AND(COUNTIFS('Gate Checklist'!$A$5:$A$204,$A163,'Gate Checklist'!$B$5:$B$204,0,'Gate Checklist'!$D$5:$D$204,"Pass")&gt;0,COUNTIFS('Gate Checklist'!$A$5:$A$204,$A163,'Gate Checklist'!$B$5:$B$204,1,'Gate Checklist'!$D$5:$D$204,"Pass")&gt;0),IF($P163="Ready for mapping","READY FOR MAPPING",IF($P163="Ready with remediation","READY WITH REMEDIATION",IF($P163="Deferred","DEFERRED","DISPOSITION REQUIRED"))),IF(COUNTIFS('Gate Checklist'!$A$5:$A$204,$A163,'Gate Checklist'!$B$5:$B$204,0,'Gate Checklist'!$D$5:$D$204,"Pass")+COUNTIFS('Gate Checklist'!$A$5:$A$204,$A163,'Gate Checklist'!$B$5:$B$204,1,'Gate Checklist'!$D$5:$D$204,"Pass")&gt;0,"IN PROGRESS","NOT ASSESSED"))))</x:f>
      </x:c>
      <x:c r="P163" s="82"/>
      <x:c r="Q163" s="82"/>
      <x:c r="R163" s="83"/>
      <x:c r="S163" s="82"/>
    </x:row>
    <x:row r="164">
      <x:c r="K164" s="82"/>
      <x:c r="L164" s="82"/>
      <x:c r="M164" s="82"/>
      <x:c r="N164" s="83" t="str">
        <x:f>IF($A164="","",IF(OR($K164="",$L164="",$M164="") ,"",SUM($K164:$L164)+6-$M164))</x:f>
      </x:c>
      <x:c r="O164" s="83" t="str">
        <x:f>IF($A164="","",IF(COUNTIFS('Gate Checklist'!$A$5:$A$204,$A164,'Gate Checklist'!$B$5:$B$204,0,'Gate Checklist'!$D$5:$D$204,"Fail")+COUNTIFS('Gate Checklist'!$A$5:$A$204,$A164,'Gate Checklist'!$B$5:$B$204,1,'Gate Checklist'!$D$5:$D$204,"Fail")&gt;0,"BLOCKED",IF(AND(COUNTIFS('Gate Checklist'!$A$5:$A$204,$A164,'Gate Checklist'!$B$5:$B$204,0,'Gate Checklist'!$D$5:$D$204,"Pass")&gt;0,COUNTIFS('Gate Checklist'!$A$5:$A$204,$A164,'Gate Checklist'!$B$5:$B$204,1,'Gate Checklist'!$D$5:$D$204,"Pass")&gt;0),IF($P164="Ready for mapping","READY FOR MAPPING",IF($P164="Ready with remediation","READY WITH REMEDIATION",IF($P164="Deferred","DEFERRED","DISPOSITION REQUIRED"))),IF(COUNTIFS('Gate Checklist'!$A$5:$A$204,$A164,'Gate Checklist'!$B$5:$B$204,0,'Gate Checklist'!$D$5:$D$204,"Pass")+COUNTIFS('Gate Checklist'!$A$5:$A$204,$A164,'Gate Checklist'!$B$5:$B$204,1,'Gate Checklist'!$D$5:$D$204,"Pass")&gt;0,"IN PROGRESS","NOT ASSESSED"))))</x:f>
      </x:c>
      <x:c r="P164" s="82"/>
      <x:c r="Q164" s="82"/>
      <x:c r="R164" s="83"/>
      <x:c r="S164" s="82"/>
    </x:row>
    <x:row r="165">
      <x:c r="K165" s="82"/>
      <x:c r="L165" s="82"/>
      <x:c r="M165" s="82"/>
      <x:c r="N165" s="83" t="str">
        <x:f>IF($A165="","",IF(OR($K165="",$L165="",$M165="") ,"",SUM($K165:$L165)+6-$M165))</x:f>
      </x:c>
      <x:c r="O165" s="83" t="str">
        <x:f>IF($A165="","",IF(COUNTIFS('Gate Checklist'!$A$5:$A$204,$A165,'Gate Checklist'!$B$5:$B$204,0,'Gate Checklist'!$D$5:$D$204,"Fail")+COUNTIFS('Gate Checklist'!$A$5:$A$204,$A165,'Gate Checklist'!$B$5:$B$204,1,'Gate Checklist'!$D$5:$D$204,"Fail")&gt;0,"BLOCKED",IF(AND(COUNTIFS('Gate Checklist'!$A$5:$A$204,$A165,'Gate Checklist'!$B$5:$B$204,0,'Gate Checklist'!$D$5:$D$204,"Pass")&gt;0,COUNTIFS('Gate Checklist'!$A$5:$A$204,$A165,'Gate Checklist'!$B$5:$B$204,1,'Gate Checklist'!$D$5:$D$204,"Pass")&gt;0),IF($P165="Ready for mapping","READY FOR MAPPING",IF($P165="Ready with remediation","READY WITH REMEDIATION",IF($P165="Deferred","DEFERRED","DISPOSITION REQUIRED"))),IF(COUNTIFS('Gate Checklist'!$A$5:$A$204,$A165,'Gate Checklist'!$B$5:$B$204,0,'Gate Checklist'!$D$5:$D$204,"Pass")+COUNTIFS('Gate Checklist'!$A$5:$A$204,$A165,'Gate Checklist'!$B$5:$B$204,1,'Gate Checklist'!$D$5:$D$204,"Pass")&gt;0,"IN PROGRESS","NOT ASSESSED"))))</x:f>
      </x:c>
      <x:c r="P165" s="82"/>
      <x:c r="Q165" s="82"/>
      <x:c r="R165" s="83"/>
      <x:c r="S165" s="82"/>
    </x:row>
    <x:row r="166">
      <x:c r="K166" s="82"/>
      <x:c r="L166" s="82"/>
      <x:c r="M166" s="82"/>
      <x:c r="N166" s="83" t="str">
        <x:f>IF($A166="","",IF(OR($K166="",$L166="",$M166="") ,"",SUM($K166:$L166)+6-$M166))</x:f>
      </x:c>
      <x:c r="O166" s="83" t="str">
        <x:f>IF($A166="","",IF(COUNTIFS('Gate Checklist'!$A$5:$A$204,$A166,'Gate Checklist'!$B$5:$B$204,0,'Gate Checklist'!$D$5:$D$204,"Fail")+COUNTIFS('Gate Checklist'!$A$5:$A$204,$A166,'Gate Checklist'!$B$5:$B$204,1,'Gate Checklist'!$D$5:$D$204,"Fail")&gt;0,"BLOCKED",IF(AND(COUNTIFS('Gate Checklist'!$A$5:$A$204,$A166,'Gate Checklist'!$B$5:$B$204,0,'Gate Checklist'!$D$5:$D$204,"Pass")&gt;0,COUNTIFS('Gate Checklist'!$A$5:$A$204,$A166,'Gate Checklist'!$B$5:$B$204,1,'Gate Checklist'!$D$5:$D$204,"Pass")&gt;0),IF($P166="Ready for mapping","READY FOR MAPPING",IF($P166="Ready with remediation","READY WITH REMEDIATION",IF($P166="Deferred","DEFERRED","DISPOSITION REQUIRED"))),IF(COUNTIFS('Gate Checklist'!$A$5:$A$204,$A166,'Gate Checklist'!$B$5:$B$204,0,'Gate Checklist'!$D$5:$D$204,"Pass")+COUNTIFS('Gate Checklist'!$A$5:$A$204,$A166,'Gate Checklist'!$B$5:$B$204,1,'Gate Checklist'!$D$5:$D$204,"Pass")&gt;0,"IN PROGRESS","NOT ASSESSED"))))</x:f>
      </x:c>
      <x:c r="P166" s="82"/>
      <x:c r="Q166" s="82"/>
      <x:c r="R166" s="83"/>
      <x:c r="S166" s="82"/>
    </x:row>
    <x:row r="167">
      <x:c r="K167" s="82"/>
      <x:c r="L167" s="82"/>
      <x:c r="M167" s="82"/>
      <x:c r="N167" s="83" t="str">
        <x:f>IF($A167="","",IF(OR($K167="",$L167="",$M167="") ,"",SUM($K167:$L167)+6-$M167))</x:f>
      </x:c>
      <x:c r="O167" s="83" t="str">
        <x:f>IF($A167="","",IF(COUNTIFS('Gate Checklist'!$A$5:$A$204,$A167,'Gate Checklist'!$B$5:$B$204,0,'Gate Checklist'!$D$5:$D$204,"Fail")+COUNTIFS('Gate Checklist'!$A$5:$A$204,$A167,'Gate Checklist'!$B$5:$B$204,1,'Gate Checklist'!$D$5:$D$204,"Fail")&gt;0,"BLOCKED",IF(AND(COUNTIFS('Gate Checklist'!$A$5:$A$204,$A167,'Gate Checklist'!$B$5:$B$204,0,'Gate Checklist'!$D$5:$D$204,"Pass")&gt;0,COUNTIFS('Gate Checklist'!$A$5:$A$204,$A167,'Gate Checklist'!$B$5:$B$204,1,'Gate Checklist'!$D$5:$D$204,"Pass")&gt;0),IF($P167="Ready for mapping","READY FOR MAPPING",IF($P167="Ready with remediation","READY WITH REMEDIATION",IF($P167="Deferred","DEFERRED","DISPOSITION REQUIRED"))),IF(COUNTIFS('Gate Checklist'!$A$5:$A$204,$A167,'Gate Checklist'!$B$5:$B$204,0,'Gate Checklist'!$D$5:$D$204,"Pass")+COUNTIFS('Gate Checklist'!$A$5:$A$204,$A167,'Gate Checklist'!$B$5:$B$204,1,'Gate Checklist'!$D$5:$D$204,"Pass")&gt;0,"IN PROGRESS","NOT ASSESSED"))))</x:f>
      </x:c>
      <x:c r="P167" s="82"/>
      <x:c r="Q167" s="82"/>
      <x:c r="R167" s="83"/>
      <x:c r="S167" s="82"/>
    </x:row>
    <x:row r="168">
      <x:c r="K168" s="82"/>
      <x:c r="L168" s="82"/>
      <x:c r="M168" s="82"/>
      <x:c r="N168" s="83" t="str">
        <x:f>IF($A168="","",IF(OR($K168="",$L168="",$M168="") ,"",SUM($K168:$L168)+6-$M168))</x:f>
      </x:c>
      <x:c r="O168" s="83" t="str">
        <x:f>IF($A168="","",IF(COUNTIFS('Gate Checklist'!$A$5:$A$204,$A168,'Gate Checklist'!$B$5:$B$204,0,'Gate Checklist'!$D$5:$D$204,"Fail")+COUNTIFS('Gate Checklist'!$A$5:$A$204,$A168,'Gate Checklist'!$B$5:$B$204,1,'Gate Checklist'!$D$5:$D$204,"Fail")&gt;0,"BLOCKED",IF(AND(COUNTIFS('Gate Checklist'!$A$5:$A$204,$A168,'Gate Checklist'!$B$5:$B$204,0,'Gate Checklist'!$D$5:$D$204,"Pass")&gt;0,COUNTIFS('Gate Checklist'!$A$5:$A$204,$A168,'Gate Checklist'!$B$5:$B$204,1,'Gate Checklist'!$D$5:$D$204,"Pass")&gt;0),IF($P168="Ready for mapping","READY FOR MAPPING",IF($P168="Ready with remediation","READY WITH REMEDIATION",IF($P168="Deferred","DEFERRED","DISPOSITION REQUIRED"))),IF(COUNTIFS('Gate Checklist'!$A$5:$A$204,$A168,'Gate Checklist'!$B$5:$B$204,0,'Gate Checklist'!$D$5:$D$204,"Pass")+COUNTIFS('Gate Checklist'!$A$5:$A$204,$A168,'Gate Checklist'!$B$5:$B$204,1,'Gate Checklist'!$D$5:$D$204,"Pass")&gt;0,"IN PROGRESS","NOT ASSESSED"))))</x:f>
      </x:c>
      <x:c r="P168" s="82"/>
      <x:c r="Q168" s="82"/>
      <x:c r="R168" s="83"/>
      <x:c r="S168" s="82"/>
    </x:row>
    <x:row r="169">
      <x:c r="K169" s="82"/>
      <x:c r="L169" s="82"/>
      <x:c r="M169" s="82"/>
      <x:c r="N169" s="83" t="str">
        <x:f>IF($A169="","",IF(OR($K169="",$L169="",$M169="") ,"",SUM($K169:$L169)+6-$M169))</x:f>
      </x:c>
      <x:c r="O169" s="83" t="str">
        <x:f>IF($A169="","",IF(COUNTIFS('Gate Checklist'!$A$5:$A$204,$A169,'Gate Checklist'!$B$5:$B$204,0,'Gate Checklist'!$D$5:$D$204,"Fail")+COUNTIFS('Gate Checklist'!$A$5:$A$204,$A169,'Gate Checklist'!$B$5:$B$204,1,'Gate Checklist'!$D$5:$D$204,"Fail")&gt;0,"BLOCKED",IF(AND(COUNTIFS('Gate Checklist'!$A$5:$A$204,$A169,'Gate Checklist'!$B$5:$B$204,0,'Gate Checklist'!$D$5:$D$204,"Pass")&gt;0,COUNTIFS('Gate Checklist'!$A$5:$A$204,$A169,'Gate Checklist'!$B$5:$B$204,1,'Gate Checklist'!$D$5:$D$204,"Pass")&gt;0),IF($P169="Ready for mapping","READY FOR MAPPING",IF($P169="Ready with remediation","READY WITH REMEDIATION",IF($P169="Deferred","DEFERRED","DISPOSITION REQUIRED"))),IF(COUNTIFS('Gate Checklist'!$A$5:$A$204,$A169,'Gate Checklist'!$B$5:$B$204,0,'Gate Checklist'!$D$5:$D$204,"Pass")+COUNTIFS('Gate Checklist'!$A$5:$A$204,$A169,'Gate Checklist'!$B$5:$B$204,1,'Gate Checklist'!$D$5:$D$204,"Pass")&gt;0,"IN PROGRESS","NOT ASSESSED"))))</x:f>
      </x:c>
      <x:c r="P169" s="82"/>
      <x:c r="Q169" s="82"/>
      <x:c r="R169" s="83"/>
      <x:c r="S169" s="82"/>
    </x:row>
    <x:row r="170">
      <x:c r="K170" s="82"/>
      <x:c r="L170" s="82"/>
      <x:c r="M170" s="82"/>
      <x:c r="N170" s="83" t="str">
        <x:f>IF($A170="","",IF(OR($K170="",$L170="",$M170="") ,"",SUM($K170:$L170)+6-$M170))</x:f>
      </x:c>
      <x:c r="O170" s="83" t="str">
        <x:f>IF($A170="","",IF(COUNTIFS('Gate Checklist'!$A$5:$A$204,$A170,'Gate Checklist'!$B$5:$B$204,0,'Gate Checklist'!$D$5:$D$204,"Fail")+COUNTIFS('Gate Checklist'!$A$5:$A$204,$A170,'Gate Checklist'!$B$5:$B$204,1,'Gate Checklist'!$D$5:$D$204,"Fail")&gt;0,"BLOCKED",IF(AND(COUNTIFS('Gate Checklist'!$A$5:$A$204,$A170,'Gate Checklist'!$B$5:$B$204,0,'Gate Checklist'!$D$5:$D$204,"Pass")&gt;0,COUNTIFS('Gate Checklist'!$A$5:$A$204,$A170,'Gate Checklist'!$B$5:$B$204,1,'Gate Checklist'!$D$5:$D$204,"Pass")&gt;0),IF($P170="Ready for mapping","READY FOR MAPPING",IF($P170="Ready with remediation","READY WITH REMEDIATION",IF($P170="Deferred","DEFERRED","DISPOSITION REQUIRED"))),IF(COUNTIFS('Gate Checklist'!$A$5:$A$204,$A170,'Gate Checklist'!$B$5:$B$204,0,'Gate Checklist'!$D$5:$D$204,"Pass")+COUNTIFS('Gate Checklist'!$A$5:$A$204,$A170,'Gate Checklist'!$B$5:$B$204,1,'Gate Checklist'!$D$5:$D$204,"Pass")&gt;0,"IN PROGRESS","NOT ASSESSED"))))</x:f>
      </x:c>
      <x:c r="P170" s="82"/>
      <x:c r="Q170" s="82"/>
      <x:c r="R170" s="83"/>
      <x:c r="S170" s="82"/>
    </x:row>
    <x:row r="171">
      <x:c r="K171" s="82"/>
      <x:c r="L171" s="82"/>
      <x:c r="M171" s="82"/>
      <x:c r="N171" s="83" t="str">
        <x:f>IF($A171="","",IF(OR($K171="",$L171="",$M171="") ,"",SUM($K171:$L171)+6-$M171))</x:f>
      </x:c>
      <x:c r="O171" s="83" t="str">
        <x:f>IF($A171="","",IF(COUNTIFS('Gate Checklist'!$A$5:$A$204,$A171,'Gate Checklist'!$B$5:$B$204,0,'Gate Checklist'!$D$5:$D$204,"Fail")+COUNTIFS('Gate Checklist'!$A$5:$A$204,$A171,'Gate Checklist'!$B$5:$B$204,1,'Gate Checklist'!$D$5:$D$204,"Fail")&gt;0,"BLOCKED",IF(AND(COUNTIFS('Gate Checklist'!$A$5:$A$204,$A171,'Gate Checklist'!$B$5:$B$204,0,'Gate Checklist'!$D$5:$D$204,"Pass")&gt;0,COUNTIFS('Gate Checklist'!$A$5:$A$204,$A171,'Gate Checklist'!$B$5:$B$204,1,'Gate Checklist'!$D$5:$D$204,"Pass")&gt;0),IF($P171="Ready for mapping","READY FOR MAPPING",IF($P171="Ready with remediation","READY WITH REMEDIATION",IF($P171="Deferred","DEFERRED","DISPOSITION REQUIRED"))),IF(COUNTIFS('Gate Checklist'!$A$5:$A$204,$A171,'Gate Checklist'!$B$5:$B$204,0,'Gate Checklist'!$D$5:$D$204,"Pass")+COUNTIFS('Gate Checklist'!$A$5:$A$204,$A171,'Gate Checklist'!$B$5:$B$204,1,'Gate Checklist'!$D$5:$D$204,"Pass")&gt;0,"IN PROGRESS","NOT ASSESSED"))))</x:f>
      </x:c>
      <x:c r="P171" s="82"/>
      <x:c r="Q171" s="82"/>
      <x:c r="R171" s="83"/>
      <x:c r="S171" s="82"/>
    </x:row>
    <x:row r="172">
      <x:c r="K172" s="82"/>
      <x:c r="L172" s="82"/>
      <x:c r="M172" s="82"/>
      <x:c r="N172" s="83" t="str">
        <x:f>IF($A172="","",IF(OR($K172="",$L172="",$M172="") ,"",SUM($K172:$L172)+6-$M172))</x:f>
      </x:c>
      <x:c r="O172" s="83" t="str">
        <x:f>IF($A172="","",IF(COUNTIFS('Gate Checklist'!$A$5:$A$204,$A172,'Gate Checklist'!$B$5:$B$204,0,'Gate Checklist'!$D$5:$D$204,"Fail")+COUNTIFS('Gate Checklist'!$A$5:$A$204,$A172,'Gate Checklist'!$B$5:$B$204,1,'Gate Checklist'!$D$5:$D$204,"Fail")&gt;0,"BLOCKED",IF(AND(COUNTIFS('Gate Checklist'!$A$5:$A$204,$A172,'Gate Checklist'!$B$5:$B$204,0,'Gate Checklist'!$D$5:$D$204,"Pass")&gt;0,COUNTIFS('Gate Checklist'!$A$5:$A$204,$A172,'Gate Checklist'!$B$5:$B$204,1,'Gate Checklist'!$D$5:$D$204,"Pass")&gt;0),IF($P172="Ready for mapping","READY FOR MAPPING",IF($P172="Ready with remediation","READY WITH REMEDIATION",IF($P172="Deferred","DEFERRED","DISPOSITION REQUIRED"))),IF(COUNTIFS('Gate Checklist'!$A$5:$A$204,$A172,'Gate Checklist'!$B$5:$B$204,0,'Gate Checklist'!$D$5:$D$204,"Pass")+COUNTIFS('Gate Checklist'!$A$5:$A$204,$A172,'Gate Checklist'!$B$5:$B$204,1,'Gate Checklist'!$D$5:$D$204,"Pass")&gt;0,"IN PROGRESS","NOT ASSESSED"))))</x:f>
      </x:c>
      <x:c r="P172" s="82"/>
      <x:c r="Q172" s="82"/>
      <x:c r="R172" s="83"/>
      <x:c r="S172" s="82"/>
    </x:row>
    <x:row r="173">
      <x:c r="K173" s="82"/>
      <x:c r="L173" s="82"/>
      <x:c r="M173" s="82"/>
      <x:c r="N173" s="83" t="str">
        <x:f>IF($A173="","",IF(OR($K173="",$L173="",$M173="") ,"",SUM($K173:$L173)+6-$M173))</x:f>
      </x:c>
      <x:c r="O173" s="83" t="str">
        <x:f>IF($A173="","",IF(COUNTIFS('Gate Checklist'!$A$5:$A$204,$A173,'Gate Checklist'!$B$5:$B$204,0,'Gate Checklist'!$D$5:$D$204,"Fail")+COUNTIFS('Gate Checklist'!$A$5:$A$204,$A173,'Gate Checklist'!$B$5:$B$204,1,'Gate Checklist'!$D$5:$D$204,"Fail")&gt;0,"BLOCKED",IF(AND(COUNTIFS('Gate Checklist'!$A$5:$A$204,$A173,'Gate Checklist'!$B$5:$B$204,0,'Gate Checklist'!$D$5:$D$204,"Pass")&gt;0,COUNTIFS('Gate Checklist'!$A$5:$A$204,$A173,'Gate Checklist'!$B$5:$B$204,1,'Gate Checklist'!$D$5:$D$204,"Pass")&gt;0),IF($P173="Ready for mapping","READY FOR MAPPING",IF($P173="Ready with remediation","READY WITH REMEDIATION",IF($P173="Deferred","DEFERRED","DISPOSITION REQUIRED"))),IF(COUNTIFS('Gate Checklist'!$A$5:$A$204,$A173,'Gate Checklist'!$B$5:$B$204,0,'Gate Checklist'!$D$5:$D$204,"Pass")+COUNTIFS('Gate Checklist'!$A$5:$A$204,$A173,'Gate Checklist'!$B$5:$B$204,1,'Gate Checklist'!$D$5:$D$204,"Pass")&gt;0,"IN PROGRESS","NOT ASSESSED"))))</x:f>
      </x:c>
      <x:c r="P173" s="82"/>
      <x:c r="Q173" s="82"/>
      <x:c r="R173" s="83"/>
      <x:c r="S173" s="82"/>
    </x:row>
    <x:row r="174">
      <x:c r="K174" s="82"/>
      <x:c r="L174" s="82"/>
      <x:c r="M174" s="82"/>
      <x:c r="N174" s="83" t="str">
        <x:f>IF($A174="","",IF(OR($K174="",$L174="",$M174="") ,"",SUM($K174:$L174)+6-$M174))</x:f>
      </x:c>
      <x:c r="O174" s="83" t="str">
        <x:f>IF($A174="","",IF(COUNTIFS('Gate Checklist'!$A$5:$A$204,$A174,'Gate Checklist'!$B$5:$B$204,0,'Gate Checklist'!$D$5:$D$204,"Fail")+COUNTIFS('Gate Checklist'!$A$5:$A$204,$A174,'Gate Checklist'!$B$5:$B$204,1,'Gate Checklist'!$D$5:$D$204,"Fail")&gt;0,"BLOCKED",IF(AND(COUNTIFS('Gate Checklist'!$A$5:$A$204,$A174,'Gate Checklist'!$B$5:$B$204,0,'Gate Checklist'!$D$5:$D$204,"Pass")&gt;0,COUNTIFS('Gate Checklist'!$A$5:$A$204,$A174,'Gate Checklist'!$B$5:$B$204,1,'Gate Checklist'!$D$5:$D$204,"Pass")&gt;0),IF($P174="Ready for mapping","READY FOR MAPPING",IF($P174="Ready with remediation","READY WITH REMEDIATION",IF($P174="Deferred","DEFERRED","DISPOSITION REQUIRED"))),IF(COUNTIFS('Gate Checklist'!$A$5:$A$204,$A174,'Gate Checklist'!$B$5:$B$204,0,'Gate Checklist'!$D$5:$D$204,"Pass")+COUNTIFS('Gate Checklist'!$A$5:$A$204,$A174,'Gate Checklist'!$B$5:$B$204,1,'Gate Checklist'!$D$5:$D$204,"Pass")&gt;0,"IN PROGRESS","NOT ASSESSED"))))</x:f>
      </x:c>
      <x:c r="P174" s="82"/>
      <x:c r="Q174" s="82"/>
      <x:c r="R174" s="83"/>
      <x:c r="S174" s="82"/>
    </x:row>
    <x:row r="175">
      <x:c r="K175" s="82"/>
      <x:c r="L175" s="82"/>
      <x:c r="M175" s="82"/>
      <x:c r="N175" s="83" t="str">
        <x:f>IF($A175="","",IF(OR($K175="",$L175="",$M175="") ,"",SUM($K175:$L175)+6-$M175))</x:f>
      </x:c>
      <x:c r="O175" s="83" t="str">
        <x:f>IF($A175="","",IF(COUNTIFS('Gate Checklist'!$A$5:$A$204,$A175,'Gate Checklist'!$B$5:$B$204,0,'Gate Checklist'!$D$5:$D$204,"Fail")+COUNTIFS('Gate Checklist'!$A$5:$A$204,$A175,'Gate Checklist'!$B$5:$B$204,1,'Gate Checklist'!$D$5:$D$204,"Fail")&gt;0,"BLOCKED",IF(AND(COUNTIFS('Gate Checklist'!$A$5:$A$204,$A175,'Gate Checklist'!$B$5:$B$204,0,'Gate Checklist'!$D$5:$D$204,"Pass")&gt;0,COUNTIFS('Gate Checklist'!$A$5:$A$204,$A175,'Gate Checklist'!$B$5:$B$204,1,'Gate Checklist'!$D$5:$D$204,"Pass")&gt;0),IF($P175="Ready for mapping","READY FOR MAPPING",IF($P175="Ready with remediation","READY WITH REMEDIATION",IF($P175="Deferred","DEFERRED","DISPOSITION REQUIRED"))),IF(COUNTIFS('Gate Checklist'!$A$5:$A$204,$A175,'Gate Checklist'!$B$5:$B$204,0,'Gate Checklist'!$D$5:$D$204,"Pass")+COUNTIFS('Gate Checklist'!$A$5:$A$204,$A175,'Gate Checklist'!$B$5:$B$204,1,'Gate Checklist'!$D$5:$D$204,"Pass")&gt;0,"IN PROGRESS","NOT ASSESSED"))))</x:f>
      </x:c>
      <x:c r="P175" s="82"/>
      <x:c r="Q175" s="82"/>
      <x:c r="R175" s="83"/>
      <x:c r="S175" s="82"/>
    </x:row>
    <x:row r="176">
      <x:c r="K176" s="82"/>
      <x:c r="L176" s="82"/>
      <x:c r="M176" s="82"/>
      <x:c r="N176" s="83" t="str">
        <x:f>IF($A176="","",IF(OR($K176="",$L176="",$M176="") ,"",SUM($K176:$L176)+6-$M176))</x:f>
      </x:c>
      <x:c r="O176" s="83" t="str">
        <x:f>IF($A176="","",IF(COUNTIFS('Gate Checklist'!$A$5:$A$204,$A176,'Gate Checklist'!$B$5:$B$204,0,'Gate Checklist'!$D$5:$D$204,"Fail")+COUNTIFS('Gate Checklist'!$A$5:$A$204,$A176,'Gate Checklist'!$B$5:$B$204,1,'Gate Checklist'!$D$5:$D$204,"Fail")&gt;0,"BLOCKED",IF(AND(COUNTIFS('Gate Checklist'!$A$5:$A$204,$A176,'Gate Checklist'!$B$5:$B$204,0,'Gate Checklist'!$D$5:$D$204,"Pass")&gt;0,COUNTIFS('Gate Checklist'!$A$5:$A$204,$A176,'Gate Checklist'!$B$5:$B$204,1,'Gate Checklist'!$D$5:$D$204,"Pass")&gt;0),IF($P176="Ready for mapping","READY FOR MAPPING",IF($P176="Ready with remediation","READY WITH REMEDIATION",IF($P176="Deferred","DEFERRED","DISPOSITION REQUIRED"))),IF(COUNTIFS('Gate Checklist'!$A$5:$A$204,$A176,'Gate Checklist'!$B$5:$B$204,0,'Gate Checklist'!$D$5:$D$204,"Pass")+COUNTIFS('Gate Checklist'!$A$5:$A$204,$A176,'Gate Checklist'!$B$5:$B$204,1,'Gate Checklist'!$D$5:$D$204,"Pass")&gt;0,"IN PROGRESS","NOT ASSESSED"))))</x:f>
      </x:c>
      <x:c r="P176" s="82"/>
      <x:c r="Q176" s="82"/>
      <x:c r="R176" s="83"/>
      <x:c r="S176" s="82"/>
    </x:row>
    <x:row r="177">
      <x:c r="K177" s="82"/>
      <x:c r="L177" s="82"/>
      <x:c r="M177" s="82"/>
      <x:c r="N177" s="83" t="str">
        <x:f>IF($A177="","",IF(OR($K177="",$L177="",$M177="") ,"",SUM($K177:$L177)+6-$M177))</x:f>
      </x:c>
      <x:c r="O177" s="83" t="str">
        <x:f>IF($A177="","",IF(COUNTIFS('Gate Checklist'!$A$5:$A$204,$A177,'Gate Checklist'!$B$5:$B$204,0,'Gate Checklist'!$D$5:$D$204,"Fail")+COUNTIFS('Gate Checklist'!$A$5:$A$204,$A177,'Gate Checklist'!$B$5:$B$204,1,'Gate Checklist'!$D$5:$D$204,"Fail")&gt;0,"BLOCKED",IF(AND(COUNTIFS('Gate Checklist'!$A$5:$A$204,$A177,'Gate Checklist'!$B$5:$B$204,0,'Gate Checklist'!$D$5:$D$204,"Pass")&gt;0,COUNTIFS('Gate Checklist'!$A$5:$A$204,$A177,'Gate Checklist'!$B$5:$B$204,1,'Gate Checklist'!$D$5:$D$204,"Pass")&gt;0),IF($P177="Ready for mapping","READY FOR MAPPING",IF($P177="Ready with remediation","READY WITH REMEDIATION",IF($P177="Deferred","DEFERRED","DISPOSITION REQUIRED"))),IF(COUNTIFS('Gate Checklist'!$A$5:$A$204,$A177,'Gate Checklist'!$B$5:$B$204,0,'Gate Checklist'!$D$5:$D$204,"Pass")+COUNTIFS('Gate Checklist'!$A$5:$A$204,$A177,'Gate Checklist'!$B$5:$B$204,1,'Gate Checklist'!$D$5:$D$204,"Pass")&gt;0,"IN PROGRESS","NOT ASSESSED"))))</x:f>
      </x:c>
      <x:c r="P177" s="82"/>
      <x:c r="Q177" s="82"/>
      <x:c r="R177" s="83"/>
      <x:c r="S177" s="82"/>
    </x:row>
    <x:row r="178">
      <x:c r="K178" s="82"/>
      <x:c r="L178" s="82"/>
      <x:c r="M178" s="82"/>
      <x:c r="N178" s="83" t="str">
        <x:f>IF($A178="","",IF(OR($K178="",$L178="",$M178="") ,"",SUM($K178:$L178)+6-$M178))</x:f>
      </x:c>
      <x:c r="O178" s="83" t="str">
        <x:f>IF($A178="","",IF(COUNTIFS('Gate Checklist'!$A$5:$A$204,$A178,'Gate Checklist'!$B$5:$B$204,0,'Gate Checklist'!$D$5:$D$204,"Fail")+COUNTIFS('Gate Checklist'!$A$5:$A$204,$A178,'Gate Checklist'!$B$5:$B$204,1,'Gate Checklist'!$D$5:$D$204,"Fail")&gt;0,"BLOCKED",IF(AND(COUNTIFS('Gate Checklist'!$A$5:$A$204,$A178,'Gate Checklist'!$B$5:$B$204,0,'Gate Checklist'!$D$5:$D$204,"Pass")&gt;0,COUNTIFS('Gate Checklist'!$A$5:$A$204,$A178,'Gate Checklist'!$B$5:$B$204,1,'Gate Checklist'!$D$5:$D$204,"Pass")&gt;0),IF($P178="Ready for mapping","READY FOR MAPPING",IF($P178="Ready with remediation","READY WITH REMEDIATION",IF($P178="Deferred","DEFERRED","DISPOSITION REQUIRED"))),IF(COUNTIFS('Gate Checklist'!$A$5:$A$204,$A178,'Gate Checklist'!$B$5:$B$204,0,'Gate Checklist'!$D$5:$D$204,"Pass")+COUNTIFS('Gate Checklist'!$A$5:$A$204,$A178,'Gate Checklist'!$B$5:$B$204,1,'Gate Checklist'!$D$5:$D$204,"Pass")&gt;0,"IN PROGRESS","NOT ASSESSED"))))</x:f>
      </x:c>
      <x:c r="P178" s="82"/>
      <x:c r="Q178" s="82"/>
      <x:c r="R178" s="83"/>
      <x:c r="S178" s="82"/>
    </x:row>
    <x:row r="179">
      <x:c r="K179" s="82"/>
      <x:c r="L179" s="82"/>
      <x:c r="M179" s="82"/>
      <x:c r="N179" s="83" t="str">
        <x:f>IF($A179="","",IF(OR($K179="",$L179="",$M179="") ,"",SUM($K179:$L179)+6-$M179))</x:f>
      </x:c>
      <x:c r="O179" s="83" t="str">
        <x:f>IF($A179="","",IF(COUNTIFS('Gate Checklist'!$A$5:$A$204,$A179,'Gate Checklist'!$B$5:$B$204,0,'Gate Checklist'!$D$5:$D$204,"Fail")+COUNTIFS('Gate Checklist'!$A$5:$A$204,$A179,'Gate Checklist'!$B$5:$B$204,1,'Gate Checklist'!$D$5:$D$204,"Fail")&gt;0,"BLOCKED",IF(AND(COUNTIFS('Gate Checklist'!$A$5:$A$204,$A179,'Gate Checklist'!$B$5:$B$204,0,'Gate Checklist'!$D$5:$D$204,"Pass")&gt;0,COUNTIFS('Gate Checklist'!$A$5:$A$204,$A179,'Gate Checklist'!$B$5:$B$204,1,'Gate Checklist'!$D$5:$D$204,"Pass")&gt;0),IF($P179="Ready for mapping","READY FOR MAPPING",IF($P179="Ready with remediation","READY WITH REMEDIATION",IF($P179="Deferred","DEFERRED","DISPOSITION REQUIRED"))),IF(COUNTIFS('Gate Checklist'!$A$5:$A$204,$A179,'Gate Checklist'!$B$5:$B$204,0,'Gate Checklist'!$D$5:$D$204,"Pass")+COUNTIFS('Gate Checklist'!$A$5:$A$204,$A179,'Gate Checklist'!$B$5:$B$204,1,'Gate Checklist'!$D$5:$D$204,"Pass")&gt;0,"IN PROGRESS","NOT ASSESSED"))))</x:f>
      </x:c>
      <x:c r="P179" s="82"/>
      <x:c r="Q179" s="82"/>
      <x:c r="R179" s="83"/>
      <x:c r="S179" s="82"/>
    </x:row>
    <x:row r="180">
      <x:c r="K180" s="82"/>
      <x:c r="L180" s="82"/>
      <x:c r="M180" s="82"/>
      <x:c r="N180" s="83" t="str">
        <x:f>IF($A180="","",IF(OR($K180="",$L180="",$M180="") ,"",SUM($K180:$L180)+6-$M180))</x:f>
      </x:c>
      <x:c r="O180" s="83" t="str">
        <x:f>IF($A180="","",IF(COUNTIFS('Gate Checklist'!$A$5:$A$204,$A180,'Gate Checklist'!$B$5:$B$204,0,'Gate Checklist'!$D$5:$D$204,"Fail")+COUNTIFS('Gate Checklist'!$A$5:$A$204,$A180,'Gate Checklist'!$B$5:$B$204,1,'Gate Checklist'!$D$5:$D$204,"Fail")&gt;0,"BLOCKED",IF(AND(COUNTIFS('Gate Checklist'!$A$5:$A$204,$A180,'Gate Checklist'!$B$5:$B$204,0,'Gate Checklist'!$D$5:$D$204,"Pass")&gt;0,COUNTIFS('Gate Checklist'!$A$5:$A$204,$A180,'Gate Checklist'!$B$5:$B$204,1,'Gate Checklist'!$D$5:$D$204,"Pass")&gt;0),IF($P180="Ready for mapping","READY FOR MAPPING",IF($P180="Ready with remediation","READY WITH REMEDIATION",IF($P180="Deferred","DEFERRED","DISPOSITION REQUIRED"))),IF(COUNTIFS('Gate Checklist'!$A$5:$A$204,$A180,'Gate Checklist'!$B$5:$B$204,0,'Gate Checklist'!$D$5:$D$204,"Pass")+COUNTIFS('Gate Checklist'!$A$5:$A$204,$A180,'Gate Checklist'!$B$5:$B$204,1,'Gate Checklist'!$D$5:$D$204,"Pass")&gt;0,"IN PROGRESS","NOT ASSESSED"))))</x:f>
      </x:c>
      <x:c r="P180" s="82"/>
      <x:c r="Q180" s="82"/>
      <x:c r="R180" s="83"/>
      <x:c r="S180" s="82"/>
    </x:row>
    <x:row r="181">
      <x:c r="K181" s="82"/>
      <x:c r="L181" s="82"/>
      <x:c r="M181" s="82"/>
      <x:c r="N181" s="83" t="str">
        <x:f>IF($A181="","",IF(OR($K181="",$L181="",$M181="") ,"",SUM($K181:$L181)+6-$M181))</x:f>
      </x:c>
      <x:c r="O181" s="83" t="str">
        <x:f>IF($A181="","",IF(COUNTIFS('Gate Checklist'!$A$5:$A$204,$A181,'Gate Checklist'!$B$5:$B$204,0,'Gate Checklist'!$D$5:$D$204,"Fail")+COUNTIFS('Gate Checklist'!$A$5:$A$204,$A181,'Gate Checklist'!$B$5:$B$204,1,'Gate Checklist'!$D$5:$D$204,"Fail")&gt;0,"BLOCKED",IF(AND(COUNTIFS('Gate Checklist'!$A$5:$A$204,$A181,'Gate Checklist'!$B$5:$B$204,0,'Gate Checklist'!$D$5:$D$204,"Pass")&gt;0,COUNTIFS('Gate Checklist'!$A$5:$A$204,$A181,'Gate Checklist'!$B$5:$B$204,1,'Gate Checklist'!$D$5:$D$204,"Pass")&gt;0),IF($P181="Ready for mapping","READY FOR MAPPING",IF($P181="Ready with remediation","READY WITH REMEDIATION",IF($P181="Deferred","DEFERRED","DISPOSITION REQUIRED"))),IF(COUNTIFS('Gate Checklist'!$A$5:$A$204,$A181,'Gate Checklist'!$B$5:$B$204,0,'Gate Checklist'!$D$5:$D$204,"Pass")+COUNTIFS('Gate Checklist'!$A$5:$A$204,$A181,'Gate Checklist'!$B$5:$B$204,1,'Gate Checklist'!$D$5:$D$204,"Pass")&gt;0,"IN PROGRESS","NOT ASSESSED"))))</x:f>
      </x:c>
      <x:c r="P181" s="82"/>
      <x:c r="Q181" s="82"/>
      <x:c r="R181" s="83"/>
      <x:c r="S181" s="82"/>
    </x:row>
    <x:row r="182">
      <x:c r="K182" s="82"/>
      <x:c r="L182" s="82"/>
      <x:c r="M182" s="82"/>
      <x:c r="N182" s="83" t="str">
        <x:f>IF($A182="","",IF(OR($K182="",$L182="",$M182="") ,"",SUM($K182:$L182)+6-$M182))</x:f>
      </x:c>
      <x:c r="O182" s="83" t="str">
        <x:f>IF($A182="","",IF(COUNTIFS('Gate Checklist'!$A$5:$A$204,$A182,'Gate Checklist'!$B$5:$B$204,0,'Gate Checklist'!$D$5:$D$204,"Fail")+COUNTIFS('Gate Checklist'!$A$5:$A$204,$A182,'Gate Checklist'!$B$5:$B$204,1,'Gate Checklist'!$D$5:$D$204,"Fail")&gt;0,"BLOCKED",IF(AND(COUNTIFS('Gate Checklist'!$A$5:$A$204,$A182,'Gate Checklist'!$B$5:$B$204,0,'Gate Checklist'!$D$5:$D$204,"Pass")&gt;0,COUNTIFS('Gate Checklist'!$A$5:$A$204,$A182,'Gate Checklist'!$B$5:$B$204,1,'Gate Checklist'!$D$5:$D$204,"Pass")&gt;0),IF($P182="Ready for mapping","READY FOR MAPPING",IF($P182="Ready with remediation","READY WITH REMEDIATION",IF($P182="Deferred","DEFERRED","DISPOSITION REQUIRED"))),IF(COUNTIFS('Gate Checklist'!$A$5:$A$204,$A182,'Gate Checklist'!$B$5:$B$204,0,'Gate Checklist'!$D$5:$D$204,"Pass")+COUNTIFS('Gate Checklist'!$A$5:$A$204,$A182,'Gate Checklist'!$B$5:$B$204,1,'Gate Checklist'!$D$5:$D$204,"Pass")&gt;0,"IN PROGRESS","NOT ASSESSED"))))</x:f>
      </x:c>
      <x:c r="P182" s="82"/>
      <x:c r="Q182" s="82"/>
      <x:c r="R182" s="83"/>
      <x:c r="S182" s="82"/>
    </x:row>
    <x:row r="183">
      <x:c r="K183" s="82"/>
      <x:c r="L183" s="82"/>
      <x:c r="M183" s="82"/>
      <x:c r="N183" s="83" t="str">
        <x:f>IF($A183="","",IF(OR($K183="",$L183="",$M183="") ,"",SUM($K183:$L183)+6-$M183))</x:f>
      </x:c>
      <x:c r="O183" s="83" t="str">
        <x:f>IF($A183="","",IF(COUNTIFS('Gate Checklist'!$A$5:$A$204,$A183,'Gate Checklist'!$B$5:$B$204,0,'Gate Checklist'!$D$5:$D$204,"Fail")+COUNTIFS('Gate Checklist'!$A$5:$A$204,$A183,'Gate Checklist'!$B$5:$B$204,1,'Gate Checklist'!$D$5:$D$204,"Fail")&gt;0,"BLOCKED",IF(AND(COUNTIFS('Gate Checklist'!$A$5:$A$204,$A183,'Gate Checklist'!$B$5:$B$204,0,'Gate Checklist'!$D$5:$D$204,"Pass")&gt;0,COUNTIFS('Gate Checklist'!$A$5:$A$204,$A183,'Gate Checklist'!$B$5:$B$204,1,'Gate Checklist'!$D$5:$D$204,"Pass")&gt;0),IF($P183="Ready for mapping","READY FOR MAPPING",IF($P183="Ready with remediation","READY WITH REMEDIATION",IF($P183="Deferred","DEFERRED","DISPOSITION REQUIRED"))),IF(COUNTIFS('Gate Checklist'!$A$5:$A$204,$A183,'Gate Checklist'!$B$5:$B$204,0,'Gate Checklist'!$D$5:$D$204,"Pass")+COUNTIFS('Gate Checklist'!$A$5:$A$204,$A183,'Gate Checklist'!$B$5:$B$204,1,'Gate Checklist'!$D$5:$D$204,"Pass")&gt;0,"IN PROGRESS","NOT ASSESSED"))))</x:f>
      </x:c>
      <x:c r="P183" s="82"/>
      <x:c r="Q183" s="82"/>
      <x:c r="R183" s="83"/>
      <x:c r="S183" s="82"/>
    </x:row>
    <x:row r="184">
      <x:c r="K184" s="82"/>
      <x:c r="L184" s="82"/>
      <x:c r="M184" s="82"/>
      <x:c r="N184" s="83" t="str">
        <x:f>IF($A184="","",IF(OR($K184="",$L184="",$M184="") ,"",SUM($K184:$L184)+6-$M184))</x:f>
      </x:c>
      <x:c r="O184" s="83" t="str">
        <x:f>IF($A184="","",IF(COUNTIFS('Gate Checklist'!$A$5:$A$204,$A184,'Gate Checklist'!$B$5:$B$204,0,'Gate Checklist'!$D$5:$D$204,"Fail")+COUNTIFS('Gate Checklist'!$A$5:$A$204,$A184,'Gate Checklist'!$B$5:$B$204,1,'Gate Checklist'!$D$5:$D$204,"Fail")&gt;0,"BLOCKED",IF(AND(COUNTIFS('Gate Checklist'!$A$5:$A$204,$A184,'Gate Checklist'!$B$5:$B$204,0,'Gate Checklist'!$D$5:$D$204,"Pass")&gt;0,COUNTIFS('Gate Checklist'!$A$5:$A$204,$A184,'Gate Checklist'!$B$5:$B$204,1,'Gate Checklist'!$D$5:$D$204,"Pass")&gt;0),IF($P184="Ready for mapping","READY FOR MAPPING",IF($P184="Ready with remediation","READY WITH REMEDIATION",IF($P184="Deferred","DEFERRED","DISPOSITION REQUIRED"))),IF(COUNTIFS('Gate Checklist'!$A$5:$A$204,$A184,'Gate Checklist'!$B$5:$B$204,0,'Gate Checklist'!$D$5:$D$204,"Pass")+COUNTIFS('Gate Checklist'!$A$5:$A$204,$A184,'Gate Checklist'!$B$5:$B$204,1,'Gate Checklist'!$D$5:$D$204,"Pass")&gt;0,"IN PROGRESS","NOT ASSESSED"))))</x:f>
      </x:c>
      <x:c r="P184" s="82"/>
      <x:c r="Q184" s="82"/>
      <x:c r="R184" s="83"/>
      <x:c r="S184" s="82"/>
    </x:row>
    <x:row r="185">
      <x:c r="K185" s="82"/>
      <x:c r="L185" s="82"/>
      <x:c r="M185" s="82"/>
      <x:c r="N185" s="83" t="str">
        <x:f>IF($A185="","",IF(OR($K185="",$L185="",$M185="") ,"",SUM($K185:$L185)+6-$M185))</x:f>
      </x:c>
      <x:c r="O185" s="83" t="str">
        <x:f>IF($A185="","",IF(COUNTIFS('Gate Checklist'!$A$5:$A$204,$A185,'Gate Checklist'!$B$5:$B$204,0,'Gate Checklist'!$D$5:$D$204,"Fail")+COUNTIFS('Gate Checklist'!$A$5:$A$204,$A185,'Gate Checklist'!$B$5:$B$204,1,'Gate Checklist'!$D$5:$D$204,"Fail")&gt;0,"BLOCKED",IF(AND(COUNTIFS('Gate Checklist'!$A$5:$A$204,$A185,'Gate Checklist'!$B$5:$B$204,0,'Gate Checklist'!$D$5:$D$204,"Pass")&gt;0,COUNTIFS('Gate Checklist'!$A$5:$A$204,$A185,'Gate Checklist'!$B$5:$B$204,1,'Gate Checklist'!$D$5:$D$204,"Pass")&gt;0),IF($P185="Ready for mapping","READY FOR MAPPING",IF($P185="Ready with remediation","READY WITH REMEDIATION",IF($P185="Deferred","DEFERRED","DISPOSITION REQUIRED"))),IF(COUNTIFS('Gate Checklist'!$A$5:$A$204,$A185,'Gate Checklist'!$B$5:$B$204,0,'Gate Checklist'!$D$5:$D$204,"Pass")+COUNTIFS('Gate Checklist'!$A$5:$A$204,$A185,'Gate Checklist'!$B$5:$B$204,1,'Gate Checklist'!$D$5:$D$204,"Pass")&gt;0,"IN PROGRESS","NOT ASSESSED"))))</x:f>
      </x:c>
      <x:c r="P185" s="82"/>
      <x:c r="Q185" s="82"/>
      <x:c r="R185" s="83"/>
      <x:c r="S185" s="82"/>
    </x:row>
    <x:row r="186">
      <x:c r="K186" s="82"/>
      <x:c r="L186" s="82"/>
      <x:c r="M186" s="82"/>
      <x:c r="N186" s="83" t="str">
        <x:f>IF($A186="","",IF(OR($K186="",$L186="",$M186="") ,"",SUM($K186:$L186)+6-$M186))</x:f>
      </x:c>
      <x:c r="O186" s="83" t="str">
        <x:f>IF($A186="","",IF(COUNTIFS('Gate Checklist'!$A$5:$A$204,$A186,'Gate Checklist'!$B$5:$B$204,0,'Gate Checklist'!$D$5:$D$204,"Fail")+COUNTIFS('Gate Checklist'!$A$5:$A$204,$A186,'Gate Checklist'!$B$5:$B$204,1,'Gate Checklist'!$D$5:$D$204,"Fail")&gt;0,"BLOCKED",IF(AND(COUNTIFS('Gate Checklist'!$A$5:$A$204,$A186,'Gate Checklist'!$B$5:$B$204,0,'Gate Checklist'!$D$5:$D$204,"Pass")&gt;0,COUNTIFS('Gate Checklist'!$A$5:$A$204,$A186,'Gate Checklist'!$B$5:$B$204,1,'Gate Checklist'!$D$5:$D$204,"Pass")&gt;0),IF($P186="Ready for mapping","READY FOR MAPPING",IF($P186="Ready with remediation","READY WITH REMEDIATION",IF($P186="Deferred","DEFERRED","DISPOSITION REQUIRED"))),IF(COUNTIFS('Gate Checklist'!$A$5:$A$204,$A186,'Gate Checklist'!$B$5:$B$204,0,'Gate Checklist'!$D$5:$D$204,"Pass")+COUNTIFS('Gate Checklist'!$A$5:$A$204,$A186,'Gate Checklist'!$B$5:$B$204,1,'Gate Checklist'!$D$5:$D$204,"Pass")&gt;0,"IN PROGRESS","NOT ASSESSED"))))</x:f>
      </x:c>
      <x:c r="P186" s="82"/>
      <x:c r="Q186" s="82"/>
      <x:c r="R186" s="83"/>
      <x:c r="S186" s="82"/>
    </x:row>
    <x:row r="187">
      <x:c r="K187" s="82"/>
      <x:c r="L187" s="82"/>
      <x:c r="M187" s="82"/>
      <x:c r="N187" s="83" t="str">
        <x:f>IF($A187="","",IF(OR($K187="",$L187="",$M187="") ,"",SUM($K187:$L187)+6-$M187))</x:f>
      </x:c>
      <x:c r="O187" s="83" t="str">
        <x:f>IF($A187="","",IF(COUNTIFS('Gate Checklist'!$A$5:$A$204,$A187,'Gate Checklist'!$B$5:$B$204,0,'Gate Checklist'!$D$5:$D$204,"Fail")+COUNTIFS('Gate Checklist'!$A$5:$A$204,$A187,'Gate Checklist'!$B$5:$B$204,1,'Gate Checklist'!$D$5:$D$204,"Fail")&gt;0,"BLOCKED",IF(AND(COUNTIFS('Gate Checklist'!$A$5:$A$204,$A187,'Gate Checklist'!$B$5:$B$204,0,'Gate Checklist'!$D$5:$D$204,"Pass")&gt;0,COUNTIFS('Gate Checklist'!$A$5:$A$204,$A187,'Gate Checklist'!$B$5:$B$204,1,'Gate Checklist'!$D$5:$D$204,"Pass")&gt;0),IF($P187="Ready for mapping","READY FOR MAPPING",IF($P187="Ready with remediation","READY WITH REMEDIATION",IF($P187="Deferred","DEFERRED","DISPOSITION REQUIRED"))),IF(COUNTIFS('Gate Checklist'!$A$5:$A$204,$A187,'Gate Checklist'!$B$5:$B$204,0,'Gate Checklist'!$D$5:$D$204,"Pass")+COUNTIFS('Gate Checklist'!$A$5:$A$204,$A187,'Gate Checklist'!$B$5:$B$204,1,'Gate Checklist'!$D$5:$D$204,"Pass")&gt;0,"IN PROGRESS","NOT ASSESSED"))))</x:f>
      </x:c>
      <x:c r="P187" s="82"/>
      <x:c r="Q187" s="82"/>
      <x:c r="R187" s="83"/>
      <x:c r="S187" s="82"/>
    </x:row>
    <x:row r="188">
      <x:c r="K188" s="82"/>
      <x:c r="L188" s="82"/>
      <x:c r="M188" s="82"/>
      <x:c r="N188" s="83" t="str">
        <x:f>IF($A188="","",IF(OR($K188="",$L188="",$M188="") ,"",SUM($K188:$L188)+6-$M188))</x:f>
      </x:c>
      <x:c r="O188" s="83" t="str">
        <x:f>IF($A188="","",IF(COUNTIFS('Gate Checklist'!$A$5:$A$204,$A188,'Gate Checklist'!$B$5:$B$204,0,'Gate Checklist'!$D$5:$D$204,"Fail")+COUNTIFS('Gate Checklist'!$A$5:$A$204,$A188,'Gate Checklist'!$B$5:$B$204,1,'Gate Checklist'!$D$5:$D$204,"Fail")&gt;0,"BLOCKED",IF(AND(COUNTIFS('Gate Checklist'!$A$5:$A$204,$A188,'Gate Checklist'!$B$5:$B$204,0,'Gate Checklist'!$D$5:$D$204,"Pass")&gt;0,COUNTIFS('Gate Checklist'!$A$5:$A$204,$A188,'Gate Checklist'!$B$5:$B$204,1,'Gate Checklist'!$D$5:$D$204,"Pass")&gt;0),IF($P188="Ready for mapping","READY FOR MAPPING",IF($P188="Ready with remediation","READY WITH REMEDIATION",IF($P188="Deferred","DEFERRED","DISPOSITION REQUIRED"))),IF(COUNTIFS('Gate Checklist'!$A$5:$A$204,$A188,'Gate Checklist'!$B$5:$B$204,0,'Gate Checklist'!$D$5:$D$204,"Pass")+COUNTIFS('Gate Checklist'!$A$5:$A$204,$A188,'Gate Checklist'!$B$5:$B$204,1,'Gate Checklist'!$D$5:$D$204,"Pass")&gt;0,"IN PROGRESS","NOT ASSESSED"))))</x:f>
      </x:c>
      <x:c r="P188" s="82"/>
      <x:c r="Q188" s="82"/>
      <x:c r="R188" s="83"/>
      <x:c r="S188" s="82"/>
    </x:row>
    <x:row r="189">
      <x:c r="K189" s="82"/>
      <x:c r="L189" s="82"/>
      <x:c r="M189" s="82"/>
      <x:c r="N189" s="83" t="str">
        <x:f>IF($A189="","",IF(OR($K189="",$L189="",$M189="") ,"",SUM($K189:$L189)+6-$M189))</x:f>
      </x:c>
      <x:c r="O189" s="83" t="str">
        <x:f>IF($A189="","",IF(COUNTIFS('Gate Checklist'!$A$5:$A$204,$A189,'Gate Checklist'!$B$5:$B$204,0,'Gate Checklist'!$D$5:$D$204,"Fail")+COUNTIFS('Gate Checklist'!$A$5:$A$204,$A189,'Gate Checklist'!$B$5:$B$204,1,'Gate Checklist'!$D$5:$D$204,"Fail")&gt;0,"BLOCKED",IF(AND(COUNTIFS('Gate Checklist'!$A$5:$A$204,$A189,'Gate Checklist'!$B$5:$B$204,0,'Gate Checklist'!$D$5:$D$204,"Pass")&gt;0,COUNTIFS('Gate Checklist'!$A$5:$A$204,$A189,'Gate Checklist'!$B$5:$B$204,1,'Gate Checklist'!$D$5:$D$204,"Pass")&gt;0),IF($P189="Ready for mapping","READY FOR MAPPING",IF($P189="Ready with remediation","READY WITH REMEDIATION",IF($P189="Deferred","DEFERRED","DISPOSITION REQUIRED"))),IF(COUNTIFS('Gate Checklist'!$A$5:$A$204,$A189,'Gate Checklist'!$B$5:$B$204,0,'Gate Checklist'!$D$5:$D$204,"Pass")+COUNTIFS('Gate Checklist'!$A$5:$A$204,$A189,'Gate Checklist'!$B$5:$B$204,1,'Gate Checklist'!$D$5:$D$204,"Pass")&gt;0,"IN PROGRESS","NOT ASSESSED"))))</x:f>
      </x:c>
      <x:c r="P189" s="82"/>
      <x:c r="Q189" s="82"/>
      <x:c r="R189" s="83"/>
      <x:c r="S189" s="82"/>
    </x:row>
    <x:row r="190">
      <x:c r="K190" s="82"/>
      <x:c r="L190" s="82"/>
      <x:c r="M190" s="82"/>
      <x:c r="N190" s="83" t="str">
        <x:f>IF($A190="","",IF(OR($K190="",$L190="",$M190="") ,"",SUM($K190:$L190)+6-$M190))</x:f>
      </x:c>
      <x:c r="O190" s="83" t="str">
        <x:f>IF($A190="","",IF(COUNTIFS('Gate Checklist'!$A$5:$A$204,$A190,'Gate Checklist'!$B$5:$B$204,0,'Gate Checklist'!$D$5:$D$204,"Fail")+COUNTIFS('Gate Checklist'!$A$5:$A$204,$A190,'Gate Checklist'!$B$5:$B$204,1,'Gate Checklist'!$D$5:$D$204,"Fail")&gt;0,"BLOCKED",IF(AND(COUNTIFS('Gate Checklist'!$A$5:$A$204,$A190,'Gate Checklist'!$B$5:$B$204,0,'Gate Checklist'!$D$5:$D$204,"Pass")&gt;0,COUNTIFS('Gate Checklist'!$A$5:$A$204,$A190,'Gate Checklist'!$B$5:$B$204,1,'Gate Checklist'!$D$5:$D$204,"Pass")&gt;0),IF($P190="Ready for mapping","READY FOR MAPPING",IF($P190="Ready with remediation","READY WITH REMEDIATION",IF($P190="Deferred","DEFERRED","DISPOSITION REQUIRED"))),IF(COUNTIFS('Gate Checklist'!$A$5:$A$204,$A190,'Gate Checklist'!$B$5:$B$204,0,'Gate Checklist'!$D$5:$D$204,"Pass")+COUNTIFS('Gate Checklist'!$A$5:$A$204,$A190,'Gate Checklist'!$B$5:$B$204,1,'Gate Checklist'!$D$5:$D$204,"Pass")&gt;0,"IN PROGRESS","NOT ASSESSED"))))</x:f>
      </x:c>
      <x:c r="P190" s="82"/>
      <x:c r="Q190" s="82"/>
      <x:c r="R190" s="83"/>
      <x:c r="S190" s="82"/>
    </x:row>
    <x:row r="191">
      <x:c r="K191" s="82"/>
      <x:c r="L191" s="82"/>
      <x:c r="M191" s="82"/>
      <x:c r="N191" s="83" t="str">
        <x:f>IF($A191="","",IF(OR($K191="",$L191="",$M191="") ,"",SUM($K191:$L191)+6-$M191))</x:f>
      </x:c>
      <x:c r="O191" s="83" t="str">
        <x:f>IF($A191="","",IF(COUNTIFS('Gate Checklist'!$A$5:$A$204,$A191,'Gate Checklist'!$B$5:$B$204,0,'Gate Checklist'!$D$5:$D$204,"Fail")+COUNTIFS('Gate Checklist'!$A$5:$A$204,$A191,'Gate Checklist'!$B$5:$B$204,1,'Gate Checklist'!$D$5:$D$204,"Fail")&gt;0,"BLOCKED",IF(AND(COUNTIFS('Gate Checklist'!$A$5:$A$204,$A191,'Gate Checklist'!$B$5:$B$204,0,'Gate Checklist'!$D$5:$D$204,"Pass")&gt;0,COUNTIFS('Gate Checklist'!$A$5:$A$204,$A191,'Gate Checklist'!$B$5:$B$204,1,'Gate Checklist'!$D$5:$D$204,"Pass")&gt;0),IF($P191="Ready for mapping","READY FOR MAPPING",IF($P191="Ready with remediation","READY WITH REMEDIATION",IF($P191="Deferred","DEFERRED","DISPOSITION REQUIRED"))),IF(COUNTIFS('Gate Checklist'!$A$5:$A$204,$A191,'Gate Checklist'!$B$5:$B$204,0,'Gate Checklist'!$D$5:$D$204,"Pass")+COUNTIFS('Gate Checklist'!$A$5:$A$204,$A191,'Gate Checklist'!$B$5:$B$204,1,'Gate Checklist'!$D$5:$D$204,"Pass")&gt;0,"IN PROGRESS","NOT ASSESSED"))))</x:f>
      </x:c>
      <x:c r="P191" s="82"/>
      <x:c r="Q191" s="82"/>
      <x:c r="R191" s="83"/>
      <x:c r="S191" s="82"/>
    </x:row>
    <x:row r="192">
      <x:c r="K192" s="82"/>
      <x:c r="L192" s="82"/>
      <x:c r="M192" s="82"/>
      <x:c r="N192" s="83" t="str">
        <x:f>IF($A192="","",IF(OR($K192="",$L192="",$M192="") ,"",SUM($K192:$L192)+6-$M192))</x:f>
      </x:c>
      <x:c r="O192" s="83" t="str">
        <x:f>IF($A192="","",IF(COUNTIFS('Gate Checklist'!$A$5:$A$204,$A192,'Gate Checklist'!$B$5:$B$204,0,'Gate Checklist'!$D$5:$D$204,"Fail")+COUNTIFS('Gate Checklist'!$A$5:$A$204,$A192,'Gate Checklist'!$B$5:$B$204,1,'Gate Checklist'!$D$5:$D$204,"Fail")&gt;0,"BLOCKED",IF(AND(COUNTIFS('Gate Checklist'!$A$5:$A$204,$A192,'Gate Checklist'!$B$5:$B$204,0,'Gate Checklist'!$D$5:$D$204,"Pass")&gt;0,COUNTIFS('Gate Checklist'!$A$5:$A$204,$A192,'Gate Checklist'!$B$5:$B$204,1,'Gate Checklist'!$D$5:$D$204,"Pass")&gt;0),IF($P192="Ready for mapping","READY FOR MAPPING",IF($P192="Ready with remediation","READY WITH REMEDIATION",IF($P192="Deferred","DEFERRED","DISPOSITION REQUIRED"))),IF(COUNTIFS('Gate Checklist'!$A$5:$A$204,$A192,'Gate Checklist'!$B$5:$B$204,0,'Gate Checklist'!$D$5:$D$204,"Pass")+COUNTIFS('Gate Checklist'!$A$5:$A$204,$A192,'Gate Checklist'!$B$5:$B$204,1,'Gate Checklist'!$D$5:$D$204,"Pass")&gt;0,"IN PROGRESS","NOT ASSESSED"))))</x:f>
      </x:c>
      <x:c r="P192" s="82"/>
      <x:c r="Q192" s="82"/>
      <x:c r="R192" s="83"/>
      <x:c r="S192" s="82"/>
    </x:row>
    <x:row r="193">
      <x:c r="K193" s="82"/>
      <x:c r="L193" s="82"/>
      <x:c r="M193" s="82"/>
      <x:c r="N193" s="83" t="str">
        <x:f>IF($A193="","",IF(OR($K193="",$L193="",$M193="") ,"",SUM($K193:$L193)+6-$M193))</x:f>
      </x:c>
      <x:c r="O193" s="83" t="str">
        <x:f>IF($A193="","",IF(COUNTIFS('Gate Checklist'!$A$5:$A$204,$A193,'Gate Checklist'!$B$5:$B$204,0,'Gate Checklist'!$D$5:$D$204,"Fail")+COUNTIFS('Gate Checklist'!$A$5:$A$204,$A193,'Gate Checklist'!$B$5:$B$204,1,'Gate Checklist'!$D$5:$D$204,"Fail")&gt;0,"BLOCKED",IF(AND(COUNTIFS('Gate Checklist'!$A$5:$A$204,$A193,'Gate Checklist'!$B$5:$B$204,0,'Gate Checklist'!$D$5:$D$204,"Pass")&gt;0,COUNTIFS('Gate Checklist'!$A$5:$A$204,$A193,'Gate Checklist'!$B$5:$B$204,1,'Gate Checklist'!$D$5:$D$204,"Pass")&gt;0),IF($P193="Ready for mapping","READY FOR MAPPING",IF($P193="Ready with remediation","READY WITH REMEDIATION",IF($P193="Deferred","DEFERRED","DISPOSITION REQUIRED"))),IF(COUNTIFS('Gate Checklist'!$A$5:$A$204,$A193,'Gate Checklist'!$B$5:$B$204,0,'Gate Checklist'!$D$5:$D$204,"Pass")+COUNTIFS('Gate Checklist'!$A$5:$A$204,$A193,'Gate Checklist'!$B$5:$B$204,1,'Gate Checklist'!$D$5:$D$204,"Pass")&gt;0,"IN PROGRESS","NOT ASSESSED"))))</x:f>
      </x:c>
      <x:c r="P193" s="82"/>
      <x:c r="Q193" s="82"/>
      <x:c r="R193" s="83"/>
      <x:c r="S193" s="82"/>
    </x:row>
    <x:row r="194">
      <x:c r="K194" s="82"/>
      <x:c r="L194" s="82"/>
      <x:c r="M194" s="82"/>
      <x:c r="N194" s="83" t="str">
        <x:f>IF($A194="","",IF(OR($K194="",$L194="",$M194="") ,"",SUM($K194:$L194)+6-$M194))</x:f>
      </x:c>
      <x:c r="O194" s="83" t="str">
        <x:f>IF($A194="","",IF(COUNTIFS('Gate Checklist'!$A$5:$A$204,$A194,'Gate Checklist'!$B$5:$B$204,0,'Gate Checklist'!$D$5:$D$204,"Fail")+COUNTIFS('Gate Checklist'!$A$5:$A$204,$A194,'Gate Checklist'!$B$5:$B$204,1,'Gate Checklist'!$D$5:$D$204,"Fail")&gt;0,"BLOCKED",IF(AND(COUNTIFS('Gate Checklist'!$A$5:$A$204,$A194,'Gate Checklist'!$B$5:$B$204,0,'Gate Checklist'!$D$5:$D$204,"Pass")&gt;0,COUNTIFS('Gate Checklist'!$A$5:$A$204,$A194,'Gate Checklist'!$B$5:$B$204,1,'Gate Checklist'!$D$5:$D$204,"Pass")&gt;0),IF($P194="Ready for mapping","READY FOR MAPPING",IF($P194="Ready with remediation","READY WITH REMEDIATION",IF($P194="Deferred","DEFERRED","DISPOSITION REQUIRED"))),IF(COUNTIFS('Gate Checklist'!$A$5:$A$204,$A194,'Gate Checklist'!$B$5:$B$204,0,'Gate Checklist'!$D$5:$D$204,"Pass")+COUNTIFS('Gate Checklist'!$A$5:$A$204,$A194,'Gate Checklist'!$B$5:$B$204,1,'Gate Checklist'!$D$5:$D$204,"Pass")&gt;0,"IN PROGRESS","NOT ASSESSED"))))</x:f>
      </x:c>
      <x:c r="P194" s="82"/>
      <x:c r="Q194" s="82"/>
      <x:c r="R194" s="83"/>
      <x:c r="S194" s="82"/>
    </x:row>
    <x:row r="195">
      <x:c r="K195" s="82"/>
      <x:c r="L195" s="82"/>
      <x:c r="M195" s="82"/>
      <x:c r="N195" s="83" t="str">
        <x:f>IF($A195="","",IF(OR($K195="",$L195="",$M195="") ,"",SUM($K195:$L195)+6-$M195))</x:f>
      </x:c>
      <x:c r="O195" s="83" t="str">
        <x:f>IF($A195="","",IF(COUNTIFS('Gate Checklist'!$A$5:$A$204,$A195,'Gate Checklist'!$B$5:$B$204,0,'Gate Checklist'!$D$5:$D$204,"Fail")+COUNTIFS('Gate Checklist'!$A$5:$A$204,$A195,'Gate Checklist'!$B$5:$B$204,1,'Gate Checklist'!$D$5:$D$204,"Fail")&gt;0,"BLOCKED",IF(AND(COUNTIFS('Gate Checklist'!$A$5:$A$204,$A195,'Gate Checklist'!$B$5:$B$204,0,'Gate Checklist'!$D$5:$D$204,"Pass")&gt;0,COUNTIFS('Gate Checklist'!$A$5:$A$204,$A195,'Gate Checklist'!$B$5:$B$204,1,'Gate Checklist'!$D$5:$D$204,"Pass")&gt;0),IF($P195="Ready for mapping","READY FOR MAPPING",IF($P195="Ready with remediation","READY WITH REMEDIATION",IF($P195="Deferred","DEFERRED","DISPOSITION REQUIRED"))),IF(COUNTIFS('Gate Checklist'!$A$5:$A$204,$A195,'Gate Checklist'!$B$5:$B$204,0,'Gate Checklist'!$D$5:$D$204,"Pass")+COUNTIFS('Gate Checklist'!$A$5:$A$204,$A195,'Gate Checklist'!$B$5:$B$204,1,'Gate Checklist'!$D$5:$D$204,"Pass")&gt;0,"IN PROGRESS","NOT ASSESSED"))))</x:f>
      </x:c>
      <x:c r="P195" s="82"/>
      <x:c r="Q195" s="82"/>
      <x:c r="R195" s="83"/>
      <x:c r="S195" s="82"/>
    </x:row>
    <x:row r="196">
      <x:c r="K196" s="82"/>
      <x:c r="L196" s="82"/>
      <x:c r="M196" s="82"/>
      <x:c r="N196" s="83" t="str">
        <x:f>IF($A196="","",IF(OR($K196="",$L196="",$M196="") ,"",SUM($K196:$L196)+6-$M196))</x:f>
      </x:c>
      <x:c r="O196" s="83" t="str">
        <x:f>IF($A196="","",IF(COUNTIFS('Gate Checklist'!$A$5:$A$204,$A196,'Gate Checklist'!$B$5:$B$204,0,'Gate Checklist'!$D$5:$D$204,"Fail")+COUNTIFS('Gate Checklist'!$A$5:$A$204,$A196,'Gate Checklist'!$B$5:$B$204,1,'Gate Checklist'!$D$5:$D$204,"Fail")&gt;0,"BLOCKED",IF(AND(COUNTIFS('Gate Checklist'!$A$5:$A$204,$A196,'Gate Checklist'!$B$5:$B$204,0,'Gate Checklist'!$D$5:$D$204,"Pass")&gt;0,COUNTIFS('Gate Checklist'!$A$5:$A$204,$A196,'Gate Checklist'!$B$5:$B$204,1,'Gate Checklist'!$D$5:$D$204,"Pass")&gt;0),IF($P196="Ready for mapping","READY FOR MAPPING",IF($P196="Ready with remediation","READY WITH REMEDIATION",IF($P196="Deferred","DEFERRED","DISPOSITION REQUIRED"))),IF(COUNTIFS('Gate Checklist'!$A$5:$A$204,$A196,'Gate Checklist'!$B$5:$B$204,0,'Gate Checklist'!$D$5:$D$204,"Pass")+COUNTIFS('Gate Checklist'!$A$5:$A$204,$A196,'Gate Checklist'!$B$5:$B$204,1,'Gate Checklist'!$D$5:$D$204,"Pass")&gt;0,"IN PROGRESS","NOT ASSESSED"))))</x:f>
      </x:c>
      <x:c r="P196" s="82"/>
      <x:c r="Q196" s="82"/>
      <x:c r="R196" s="83"/>
      <x:c r="S196" s="82"/>
    </x:row>
    <x:row r="197">
      <x:c r="K197" s="82"/>
      <x:c r="L197" s="82"/>
      <x:c r="M197" s="82"/>
      <x:c r="N197" s="83" t="str">
        <x:f>IF($A197="","",IF(OR($K197="",$L197="",$M197="") ,"",SUM($K197:$L197)+6-$M197))</x:f>
      </x:c>
      <x:c r="O197" s="83" t="str">
        <x:f>IF($A197="","",IF(COUNTIFS('Gate Checklist'!$A$5:$A$204,$A197,'Gate Checklist'!$B$5:$B$204,0,'Gate Checklist'!$D$5:$D$204,"Fail")+COUNTIFS('Gate Checklist'!$A$5:$A$204,$A197,'Gate Checklist'!$B$5:$B$204,1,'Gate Checklist'!$D$5:$D$204,"Fail")&gt;0,"BLOCKED",IF(AND(COUNTIFS('Gate Checklist'!$A$5:$A$204,$A197,'Gate Checklist'!$B$5:$B$204,0,'Gate Checklist'!$D$5:$D$204,"Pass")&gt;0,COUNTIFS('Gate Checklist'!$A$5:$A$204,$A197,'Gate Checklist'!$B$5:$B$204,1,'Gate Checklist'!$D$5:$D$204,"Pass")&gt;0),IF($P197="Ready for mapping","READY FOR MAPPING",IF($P197="Ready with remediation","READY WITH REMEDIATION",IF($P197="Deferred","DEFERRED","DISPOSITION REQUIRED"))),IF(COUNTIFS('Gate Checklist'!$A$5:$A$204,$A197,'Gate Checklist'!$B$5:$B$204,0,'Gate Checklist'!$D$5:$D$204,"Pass")+COUNTIFS('Gate Checklist'!$A$5:$A$204,$A197,'Gate Checklist'!$B$5:$B$204,1,'Gate Checklist'!$D$5:$D$204,"Pass")&gt;0,"IN PROGRESS","NOT ASSESSED"))))</x:f>
      </x:c>
      <x:c r="P197" s="82"/>
      <x:c r="Q197" s="82"/>
      <x:c r="R197" s="83"/>
      <x:c r="S197" s="82"/>
    </x:row>
    <x:row r="198">
      <x:c r="K198" s="82"/>
      <x:c r="L198" s="82"/>
      <x:c r="M198" s="82"/>
      <x:c r="N198" s="83" t="str">
        <x:f>IF($A198="","",IF(OR($K198="",$L198="",$M198="") ,"",SUM($K198:$L198)+6-$M198))</x:f>
      </x:c>
      <x:c r="O198" s="83" t="str">
        <x:f>IF($A198="","",IF(COUNTIFS('Gate Checklist'!$A$5:$A$204,$A198,'Gate Checklist'!$B$5:$B$204,0,'Gate Checklist'!$D$5:$D$204,"Fail")+COUNTIFS('Gate Checklist'!$A$5:$A$204,$A198,'Gate Checklist'!$B$5:$B$204,1,'Gate Checklist'!$D$5:$D$204,"Fail")&gt;0,"BLOCKED",IF(AND(COUNTIFS('Gate Checklist'!$A$5:$A$204,$A198,'Gate Checklist'!$B$5:$B$204,0,'Gate Checklist'!$D$5:$D$204,"Pass")&gt;0,COUNTIFS('Gate Checklist'!$A$5:$A$204,$A198,'Gate Checklist'!$B$5:$B$204,1,'Gate Checklist'!$D$5:$D$204,"Pass")&gt;0),IF($P198="Ready for mapping","READY FOR MAPPING",IF($P198="Ready with remediation","READY WITH REMEDIATION",IF($P198="Deferred","DEFERRED","DISPOSITION REQUIRED"))),IF(COUNTIFS('Gate Checklist'!$A$5:$A$204,$A198,'Gate Checklist'!$B$5:$B$204,0,'Gate Checklist'!$D$5:$D$204,"Pass")+COUNTIFS('Gate Checklist'!$A$5:$A$204,$A198,'Gate Checklist'!$B$5:$B$204,1,'Gate Checklist'!$D$5:$D$204,"Pass")&gt;0,"IN PROGRESS","NOT ASSESSED"))))</x:f>
      </x:c>
      <x:c r="P198" s="82"/>
      <x:c r="Q198" s="82"/>
      <x:c r="R198" s="83"/>
      <x:c r="S198" s="82"/>
    </x:row>
    <x:row r="199">
      <x:c r="K199" s="82"/>
      <x:c r="L199" s="82"/>
      <x:c r="M199" s="82"/>
      <x:c r="N199" s="83" t="str">
        <x:f>IF($A199="","",IF(OR($K199="",$L199="",$M199="") ,"",SUM($K199:$L199)+6-$M199))</x:f>
      </x:c>
      <x:c r="O199" s="83" t="str">
        <x:f>IF($A199="","",IF(COUNTIFS('Gate Checklist'!$A$5:$A$204,$A199,'Gate Checklist'!$B$5:$B$204,0,'Gate Checklist'!$D$5:$D$204,"Fail")+COUNTIFS('Gate Checklist'!$A$5:$A$204,$A199,'Gate Checklist'!$B$5:$B$204,1,'Gate Checklist'!$D$5:$D$204,"Fail")&gt;0,"BLOCKED",IF(AND(COUNTIFS('Gate Checklist'!$A$5:$A$204,$A199,'Gate Checklist'!$B$5:$B$204,0,'Gate Checklist'!$D$5:$D$204,"Pass")&gt;0,COUNTIFS('Gate Checklist'!$A$5:$A$204,$A199,'Gate Checklist'!$B$5:$B$204,1,'Gate Checklist'!$D$5:$D$204,"Pass")&gt;0),IF($P199="Ready for mapping","READY FOR MAPPING",IF($P199="Ready with remediation","READY WITH REMEDIATION",IF($P199="Deferred","DEFERRED","DISPOSITION REQUIRED"))),IF(COUNTIFS('Gate Checklist'!$A$5:$A$204,$A199,'Gate Checklist'!$B$5:$B$204,0,'Gate Checklist'!$D$5:$D$204,"Pass")+COUNTIFS('Gate Checklist'!$A$5:$A$204,$A199,'Gate Checklist'!$B$5:$B$204,1,'Gate Checklist'!$D$5:$D$204,"Pass")&gt;0,"IN PROGRESS","NOT ASSESSED"))))</x:f>
      </x:c>
      <x:c r="P199" s="82"/>
      <x:c r="Q199" s="82"/>
      <x:c r="R199" s="83"/>
      <x:c r="S199" s="82"/>
    </x:row>
    <x:row r="200">
      <x:c r="K200" s="82"/>
      <x:c r="L200" s="82"/>
      <x:c r="M200" s="82"/>
      <x:c r="N200" s="83" t="str">
        <x:f>IF($A200="","",IF(OR($K200="",$L200="",$M200="") ,"",SUM($K200:$L200)+6-$M200))</x:f>
      </x:c>
      <x:c r="O200" s="83" t="str">
        <x:f>IF($A200="","",IF(COUNTIFS('Gate Checklist'!$A$5:$A$204,$A200,'Gate Checklist'!$B$5:$B$204,0,'Gate Checklist'!$D$5:$D$204,"Fail")+COUNTIFS('Gate Checklist'!$A$5:$A$204,$A200,'Gate Checklist'!$B$5:$B$204,1,'Gate Checklist'!$D$5:$D$204,"Fail")&gt;0,"BLOCKED",IF(AND(COUNTIFS('Gate Checklist'!$A$5:$A$204,$A200,'Gate Checklist'!$B$5:$B$204,0,'Gate Checklist'!$D$5:$D$204,"Pass")&gt;0,COUNTIFS('Gate Checklist'!$A$5:$A$204,$A200,'Gate Checklist'!$B$5:$B$204,1,'Gate Checklist'!$D$5:$D$204,"Pass")&gt;0),IF($P200="Ready for mapping","READY FOR MAPPING",IF($P200="Ready with remediation","READY WITH REMEDIATION",IF($P200="Deferred","DEFERRED","DISPOSITION REQUIRED"))),IF(COUNTIFS('Gate Checklist'!$A$5:$A$204,$A200,'Gate Checklist'!$B$5:$B$204,0,'Gate Checklist'!$D$5:$D$204,"Pass")+COUNTIFS('Gate Checklist'!$A$5:$A$204,$A200,'Gate Checklist'!$B$5:$B$204,1,'Gate Checklist'!$D$5:$D$204,"Pass")&gt;0,"IN PROGRESS","NOT ASSESSED"))))</x:f>
      </x:c>
      <x:c r="P200" s="82"/>
      <x:c r="Q200" s="82"/>
      <x:c r="R200" s="83"/>
      <x:c r="S200" s="82"/>
    </x:row>
    <x:row r="201">
      <x:c r="K201" s="82"/>
      <x:c r="L201" s="82"/>
      <x:c r="M201" s="82"/>
      <x:c r="N201" s="83" t="str">
        <x:f>IF($A201="","",IF(OR($K201="",$L201="",$M201="") ,"",SUM($K201:$L201)+6-$M201))</x:f>
      </x:c>
      <x:c r="O201" s="83" t="str">
        <x:f>IF($A201="","",IF(COUNTIFS('Gate Checklist'!$A$5:$A$204,$A201,'Gate Checklist'!$B$5:$B$204,0,'Gate Checklist'!$D$5:$D$204,"Fail")+COUNTIFS('Gate Checklist'!$A$5:$A$204,$A201,'Gate Checklist'!$B$5:$B$204,1,'Gate Checklist'!$D$5:$D$204,"Fail")&gt;0,"BLOCKED",IF(AND(COUNTIFS('Gate Checklist'!$A$5:$A$204,$A201,'Gate Checklist'!$B$5:$B$204,0,'Gate Checklist'!$D$5:$D$204,"Pass")&gt;0,COUNTIFS('Gate Checklist'!$A$5:$A$204,$A201,'Gate Checklist'!$B$5:$B$204,1,'Gate Checklist'!$D$5:$D$204,"Pass")&gt;0),IF($P201="Ready for mapping","READY FOR MAPPING",IF($P201="Ready with remediation","READY WITH REMEDIATION",IF($P201="Deferred","DEFERRED","DISPOSITION REQUIRED"))),IF(COUNTIFS('Gate Checklist'!$A$5:$A$204,$A201,'Gate Checklist'!$B$5:$B$204,0,'Gate Checklist'!$D$5:$D$204,"Pass")+COUNTIFS('Gate Checklist'!$A$5:$A$204,$A201,'Gate Checklist'!$B$5:$B$204,1,'Gate Checklist'!$D$5:$D$204,"Pass")&gt;0,"IN PROGRESS","NOT ASSESSED"))))</x:f>
      </x:c>
      <x:c r="P201" s="82"/>
      <x:c r="Q201" s="82"/>
      <x:c r="R201" s="83"/>
      <x:c r="S201" s="82"/>
    </x:row>
    <x:row r="202">
      <x:c r="K202" s="82"/>
      <x:c r="L202" s="82"/>
      <x:c r="M202" s="82"/>
      <x:c r="N202" s="83" t="str">
        <x:f>IF($A202="","",IF(OR($K202="",$L202="",$M202="") ,"",SUM($K202:$L202)+6-$M202))</x:f>
      </x:c>
      <x:c r="O202" s="83" t="str">
        <x:f>IF($A202="","",IF(COUNTIFS('Gate Checklist'!$A$5:$A$204,$A202,'Gate Checklist'!$B$5:$B$204,0,'Gate Checklist'!$D$5:$D$204,"Fail")+COUNTIFS('Gate Checklist'!$A$5:$A$204,$A202,'Gate Checklist'!$B$5:$B$204,1,'Gate Checklist'!$D$5:$D$204,"Fail")&gt;0,"BLOCKED",IF(AND(COUNTIFS('Gate Checklist'!$A$5:$A$204,$A202,'Gate Checklist'!$B$5:$B$204,0,'Gate Checklist'!$D$5:$D$204,"Pass")&gt;0,COUNTIFS('Gate Checklist'!$A$5:$A$204,$A202,'Gate Checklist'!$B$5:$B$204,1,'Gate Checklist'!$D$5:$D$204,"Pass")&gt;0),IF($P202="Ready for mapping","READY FOR MAPPING",IF($P202="Ready with remediation","READY WITH REMEDIATION",IF($P202="Deferred","DEFERRED","DISPOSITION REQUIRED"))),IF(COUNTIFS('Gate Checklist'!$A$5:$A$204,$A202,'Gate Checklist'!$B$5:$B$204,0,'Gate Checklist'!$D$5:$D$204,"Pass")+COUNTIFS('Gate Checklist'!$A$5:$A$204,$A202,'Gate Checklist'!$B$5:$B$204,1,'Gate Checklist'!$D$5:$D$204,"Pass")&gt;0,"IN PROGRESS","NOT ASSESSED"))))</x:f>
      </x:c>
      <x:c r="P202" s="82"/>
      <x:c r="Q202" s="82"/>
      <x:c r="R202" s="83"/>
      <x:c r="S202" s="82"/>
    </x:row>
    <x:row r="203">
      <x:c r="K203" s="82"/>
      <x:c r="L203" s="82"/>
      <x:c r="M203" s="82"/>
      <x:c r="N203" s="83" t="str">
        <x:f>IF($A203="","",IF(OR($K203="",$L203="",$M203="") ,"",SUM($K203:$L203)+6-$M203))</x:f>
      </x:c>
      <x:c r="O203" s="83" t="str">
        <x:f>IF($A203="","",IF(COUNTIFS('Gate Checklist'!$A$5:$A$204,$A203,'Gate Checklist'!$B$5:$B$204,0,'Gate Checklist'!$D$5:$D$204,"Fail")+COUNTIFS('Gate Checklist'!$A$5:$A$204,$A203,'Gate Checklist'!$B$5:$B$204,1,'Gate Checklist'!$D$5:$D$204,"Fail")&gt;0,"BLOCKED",IF(AND(COUNTIFS('Gate Checklist'!$A$5:$A$204,$A203,'Gate Checklist'!$B$5:$B$204,0,'Gate Checklist'!$D$5:$D$204,"Pass")&gt;0,COUNTIFS('Gate Checklist'!$A$5:$A$204,$A203,'Gate Checklist'!$B$5:$B$204,1,'Gate Checklist'!$D$5:$D$204,"Pass")&gt;0),IF($P203="Ready for mapping","READY FOR MAPPING",IF($P203="Ready with remediation","READY WITH REMEDIATION",IF($P203="Deferred","DEFERRED","DISPOSITION REQUIRED"))),IF(COUNTIFS('Gate Checklist'!$A$5:$A$204,$A203,'Gate Checklist'!$B$5:$B$204,0,'Gate Checklist'!$D$5:$D$204,"Pass")+COUNTIFS('Gate Checklist'!$A$5:$A$204,$A203,'Gate Checklist'!$B$5:$B$204,1,'Gate Checklist'!$D$5:$D$204,"Pass")&gt;0,"IN PROGRESS","NOT ASSESSED"))))</x:f>
      </x:c>
      <x:c r="P203" s="82"/>
      <x:c r="Q203" s="82"/>
      <x:c r="R203" s="83"/>
      <x:c r="S203" s="82"/>
    </x:row>
    <x:row r="204">
      <x:c r="K204" s="82"/>
      <x:c r="L204" s="82"/>
      <x:c r="M204" s="82"/>
      <x:c r="N204" s="83" t="str">
        <x:f>IF($A204="","",IF(OR($K204="",$L204="",$M204="") ,"",SUM($K204:$L204)+6-$M204))</x:f>
      </x:c>
      <x:c r="O204" s="83" t="str">
        <x:f>IF($A204="","",IF(COUNTIFS('Gate Checklist'!$A$5:$A$204,$A204,'Gate Checklist'!$B$5:$B$204,0,'Gate Checklist'!$D$5:$D$204,"Fail")+COUNTIFS('Gate Checklist'!$A$5:$A$204,$A204,'Gate Checklist'!$B$5:$B$204,1,'Gate Checklist'!$D$5:$D$204,"Fail")&gt;0,"BLOCKED",IF(AND(COUNTIFS('Gate Checklist'!$A$5:$A$204,$A204,'Gate Checklist'!$B$5:$B$204,0,'Gate Checklist'!$D$5:$D$204,"Pass")&gt;0,COUNTIFS('Gate Checklist'!$A$5:$A$204,$A204,'Gate Checklist'!$B$5:$B$204,1,'Gate Checklist'!$D$5:$D$204,"Pass")&gt;0),IF($P204="Ready for mapping","READY FOR MAPPING",IF($P204="Ready with remediation","READY WITH REMEDIATION",IF($P204="Deferred","DEFERRED","DISPOSITION REQUIRED"))),IF(COUNTIFS('Gate Checklist'!$A$5:$A$204,$A204,'Gate Checklist'!$B$5:$B$204,0,'Gate Checklist'!$D$5:$D$204,"Pass")+COUNTIFS('Gate Checklist'!$A$5:$A$204,$A204,'Gate Checklist'!$B$5:$B$204,1,'Gate Checklist'!$D$5:$D$204,"Pass")&gt;0,"IN PROGRESS","NOT ASSESSED"))))</x:f>
      </x:c>
      <x:c r="P204" s="82"/>
      <x:c r="Q204" s="82"/>
      <x:c r="R204" s="83"/>
      <x:c r="S204" s="82"/>
    </x:row>
  </x:sheetData>
  <x:conditionalFormatting sqref="N5:N24">
    <x:cfRule type="expression" dxfId="0" priority="1">
      <x:formula>$N5="BLOCKED"</x:formula>
    </x:cfRule>
    <x:cfRule type="expression" dxfId="1" priority="2">
      <x:formula>$N5="READY FOR MAPPING"</x:formula>
    </x:cfRule>
  </x:conditionalFormatting>
  <x:dataValidations count="2">
    <x:dataValidation type="whole" operator="between" sqref="K5:M204">
      <x:formula1>1</x:formula1>
      <x:formula2>5</x:formula2>
    </x:dataValidation>
    <x:dataValidation type="list" sqref="P5:P204">
      <x:formula1>"Ready for mapping,Ready with remediation,Deferred"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30" hidden="0" customWidth="1"/>
    <x:col min="4" max="4" width="17" hidden="0" customWidth="1"/>
    <x:col min="5" max="5" width="40" hidden="0" customWidth="1"/>
    <x:col min="6" max="6" width="24" hidden="0" customWidth="1"/>
    <x:col min="7" max="7" width="14" hidden="0" customWidth="1"/>
    <x:col min="8" max="8" width="40" hidden="0" customWidth="1"/>
    <x:col min="9" max="9" width="72" hidden="0" customWidth="1"/>
  </x:cols>
  <x:sheetData>
    <x:row r="1">
      <x:c r="A1" s="36" t="str">
        <x:v>Phase 4 | Factory Gate Checklist</x:v>
      </x:c>
    </x:row>
    <x:row r="2" ht="30" customHeight="1">
      <x:c r="A2" s="38" t="str">
        <x:v>Record a status only when the exit evidence exists. Gates 0-1 set source qualification; Gates 2-6 govern design through closure.</x:v>
      </x:c>
    </x:row>
    <x:row r="4" ht="34" customHeight="1">
      <x:c r="A4" s="41" t="str">
        <x:v>Candidate ID</x:v>
      </x:c>
      <x:c r="B4" s="41" t="str">
        <x:v>Gate #</x:v>
      </x:c>
      <x:c r="C4" s="41" t="str">
        <x:v>Factory stage</x:v>
      </x:c>
      <x:c r="D4" s="41" t="str">
        <x:v>Status</x:v>
      </x:c>
      <x:c r="E4" s="41" t="str">
        <x:v>Evidence / reference</x:v>
      </x:c>
      <x:c r="F4" s="41" t="str">
        <x:v>Owner</x:v>
      </x:c>
      <x:c r="G4" s="41" t="str">
        <x:v>Target date</x:v>
      </x:c>
      <x:c r="H4" s="41" t="str">
        <x:v>Open issue / notes</x:v>
      </x:c>
      <x:c r="I4" s="41" t="str">
        <x:v>Exit evidence / decision</x:v>
      </x:c>
    </x:row>
    <x:row r="5" ht="48" customHeight="1">
      <x:c r="A5" s="85" t="str">
        <x:v>P01</x:v>
      </x:c>
      <x:c r="B5" s="85" t="n">
        <x:v>0</x:v>
      </x:c>
      <x:c r="C5" s="86" t="str">
        <x:v>Intake accepted</x:v>
      </x:c>
      <x:c r="D5" s="61" t="str">
        <x:v>Not assessed</x:v>
      </x:c>
      <x:c r="E5" s="61" t="str"/>
      <x:c r="F5" s="61" t="str"/>
      <x:c r="G5" s="64" t="str"/>
      <x:c r="H5" s="61" t="str"/>
      <x:c r="I5" s="86" t="str">
        <x:v>Owners confirm source/domain, use, consumers, scope, entities, dates, volume/update pattern, dependencies, handling constraints, and open questions.</x:v>
      </x:c>
    </x:row>
    <x:row r="6" ht="48" customHeight="1">
      <x:c r="A6" s="87" t="str">
        <x:v>P01</x:v>
      </x:c>
      <x:c r="B6" s="87" t="n">
        <x:v>1</x:v>
      </x:c>
      <x:c r="C6" s="88" t="str">
        <x:v>Source qualified</x:v>
      </x:c>
      <x:c r="D6" s="62" t="str">
        <x:v>Not assessed</x:v>
      </x:c>
      <x:c r="E6" s="62" t="str"/>
      <x:c r="F6" s="62" t="str"/>
      <x:c r="G6" s="65" t="str"/>
      <x:c r="H6" s="62" t="str"/>
      <x:c r="I6" s="88" t="str">
        <x:v>Assess schema/keys/quality, history and change behavior, extract boundary/repeatability, lineage/security, support, dependencies, and reconciliation limits. Record disposition in Source Register.</x:v>
      </x:c>
    </x:row>
    <x:row r="7" ht="48" customHeight="1">
      <x:c r="A7" s="87" t="str">
        <x:v>P01</x:v>
      </x:c>
      <x:c r="B7" s="87" t="n">
        <x:v>2</x:v>
      </x:c>
      <x:c r="C7" s="88" t="str">
        <x:v>Mapping and acceptance design approved</x:v>
      </x:c>
      <x:c r="D7" s="62" t="str">
        <x:v>Not assessed</x:v>
      </x:c>
      <x:c r="E7" s="62" t="str"/>
      <x:c r="F7" s="62" t="str"/>
      <x:c r="G7" s="65" t="str"/>
      <x:c r="H7" s="62" t="str"/>
      <x:c r="I7" s="88" t="str">
        <x:v>Approve versioned mapping and transformation rules, late/corrected/deleted-record handling, exception and reconciliation rules, required security review, consumer criteria, cutover/rollback triggers, and rollback owner.</x:v>
      </x:c>
    </x:row>
    <x:row r="8" ht="48" customHeight="1">
      <x:c r="A8" s="87" t="str">
        <x:v>P01</x:v>
      </x:c>
      <x:c r="B8" s="87" t="n">
        <x:v>3</x:v>
      </x:c>
      <x:c r="C8" s="88" t="str">
        <x:v>Dry run ready</x:v>
      </x:c>
      <x:c r="D8" s="62" t="str">
        <x:v>Not assessed</x:v>
      </x:c>
      <x:c r="E8" s="62" t="str"/>
      <x:c r="F8" s="62" t="str"/>
      <x:c r="G8" s="65" t="str"/>
      <x:c r="H8" s="62" t="str"/>
      <x:c r="I8" s="88" t="str">
        <x:v>Record bounded scope and source boundary, run ID/configuration, logs and duration, reconciliation and exceptions, restart/replay proof, rollback steps, and open blockers.</x:v>
      </x:c>
    </x:row>
    <x:row r="9" ht="48" customHeight="1">
      <x:c r="A9" s="87" t="str">
        <x:v>P01</x:v>
      </x:c>
      <x:c r="B9" s="87" t="n">
        <x:v>4</x:v>
      </x:c>
      <x:c r="C9" s="88" t="str">
        <x:v>Production wave entry</x:v>
      </x:c>
      <x:c r="D9" s="62" t="str">
        <x:v>Not assessed</x:v>
      </x:c>
      <x:c r="E9" s="62" t="str"/>
      <x:c r="F9" s="62" t="str"/>
      <x:c r="G9" s="65" t="str"/>
      <x:c r="H9" s="62" t="str"/>
      <x:c r="I9" s="88" t="str">
        <x:v>Confirm Gates 0-3 approvals, change window and operators, source retention, monitoring/evidence owners, reconciliation owner, rollback triggers, and decision authority.</x:v>
      </x:c>
    </x:row>
    <x:row r="10" ht="48" customHeight="1">
      <x:c r="A10" s="87" t="str">
        <x:v>P01</x:v>
      </x:c>
      <x:c r="B10" s="87" t="n">
        <x:v>5</x:v>
      </x:c>
      <x:c r="C10" s="88" t="str">
        <x:v>Reconciliation and acceptance</x:v>
      </x:c>
      <x:c r="D10" s="62" t="str">
        <x:v>Not assessed</x:v>
      </x:c>
      <x:c r="E10" s="62" t="str"/>
      <x:c r="F10" s="62" t="str"/>
      <x:c r="G10" s="65" t="str"/>
      <x:c r="H10" s="62" t="str"/>
      <x:c r="I10" s="88" t="str">
        <x:v>Record source-target counts and controls, tolerances/exclusions, key and required-field checks, trace samples, exception dispositions, consumer validation, and acceptance or rollback decision.</x:v>
      </x:c>
    </x:row>
    <x:row r="11" ht="48" customHeight="1">
      <x:c r="A11" s="87" t="str">
        <x:v>P01</x:v>
      </x:c>
      <x:c r="B11" s="87" t="n">
        <x:v>6</x:v>
      </x:c>
      <x:c r="C11" s="88" t="str">
        <x:v>Wave closed</x:v>
      </x:c>
      <x:c r="D11" s="62" t="str">
        <x:v>Not assessed</x:v>
      </x:c>
      <x:c r="E11" s="62" t="str"/>
      <x:c r="F11" s="62" t="str"/>
      <x:c r="G11" s="65" t="str"/>
      <x:c r="H11" s="62" t="str"/>
      <x:c r="I11" s="88" t="str">
        <x:v>Record final approval or rollback, reconciliation and exception disposition, source-retention and rollback-window end, evidence location/retention owner, lessons, and owned follow-ups.</x:v>
      </x:c>
    </x:row>
    <x:row r="12" ht="48" customHeight="1">
      <x:c r="A12" s="87" t="str">
        <x:v>P02</x:v>
      </x:c>
      <x:c r="B12" s="87" t="n">
        <x:v>0</x:v>
      </x:c>
      <x:c r="C12" s="88" t="str">
        <x:v>Intake accepted</x:v>
      </x:c>
      <x:c r="D12" s="62" t="str">
        <x:v>Not assessed</x:v>
      </x:c>
      <x:c r="E12" s="62" t="str"/>
      <x:c r="F12" s="62" t="str"/>
      <x:c r="G12" s="65" t="str"/>
      <x:c r="H12" s="62" t="str"/>
      <x:c r="I12" s="88" t="str">
        <x:v>Owners confirm source/domain, use, consumers, scope, entities, dates, volume/update pattern, dependencies, handling constraints, and open questions.</x:v>
      </x:c>
    </x:row>
    <x:row r="13" ht="48" customHeight="1">
      <x:c r="A13" s="87" t="str">
        <x:v>P02</x:v>
      </x:c>
      <x:c r="B13" s="87" t="n">
        <x:v>1</x:v>
      </x:c>
      <x:c r="C13" s="88" t="str">
        <x:v>Source qualified</x:v>
      </x:c>
      <x:c r="D13" s="62" t="str">
        <x:v>Not assessed</x:v>
      </x:c>
      <x:c r="E13" s="62" t="str"/>
      <x:c r="F13" s="62" t="str"/>
      <x:c r="G13" s="65" t="str"/>
      <x:c r="H13" s="62" t="str"/>
      <x:c r="I13" s="88" t="str">
        <x:v>Assess schema/keys/quality, history and change behavior, extract boundary/repeatability, lineage/security, support, dependencies, and reconciliation limits. Record disposition in Source Register.</x:v>
      </x:c>
    </x:row>
    <x:row r="14" ht="48" customHeight="1">
      <x:c r="A14" s="87" t="str">
        <x:v>P02</x:v>
      </x:c>
      <x:c r="B14" s="87" t="n">
        <x:v>2</x:v>
      </x:c>
      <x:c r="C14" s="88" t="str">
        <x:v>Mapping and acceptance design approved</x:v>
      </x:c>
      <x:c r="D14" s="62" t="str">
        <x:v>Not assessed</x:v>
      </x:c>
      <x:c r="E14" s="62" t="str"/>
      <x:c r="F14" s="62" t="str"/>
      <x:c r="G14" s="65" t="str"/>
      <x:c r="H14" s="62" t="str"/>
      <x:c r="I14" s="88" t="str">
        <x:v>Approve versioned mapping and transformation rules, late/corrected/deleted-record handling, exception and reconciliation rules, required security review, consumer criteria, cutover/rollback triggers, and rollback owner.</x:v>
      </x:c>
    </x:row>
    <x:row r="15" ht="48" customHeight="1">
      <x:c r="A15" s="87" t="str">
        <x:v>P02</x:v>
      </x:c>
      <x:c r="B15" s="87" t="n">
        <x:v>3</x:v>
      </x:c>
      <x:c r="C15" s="88" t="str">
        <x:v>Dry run ready</x:v>
      </x:c>
      <x:c r="D15" s="62" t="str">
        <x:v>Not assessed</x:v>
      </x:c>
      <x:c r="E15" s="62" t="str"/>
      <x:c r="F15" s="62" t="str"/>
      <x:c r="G15" s="65" t="str"/>
      <x:c r="H15" s="62" t="str"/>
      <x:c r="I15" s="88" t="str">
        <x:v>Record bounded scope and source boundary, run ID/configuration, logs and duration, reconciliation and exceptions, restart/replay proof, rollback steps, and open blockers.</x:v>
      </x:c>
    </x:row>
    <x:row r="16" ht="48" customHeight="1">
      <x:c r="A16" s="87" t="str">
        <x:v>P02</x:v>
      </x:c>
      <x:c r="B16" s="87" t="n">
        <x:v>4</x:v>
      </x:c>
      <x:c r="C16" s="88" t="str">
        <x:v>Production wave entry</x:v>
      </x:c>
      <x:c r="D16" s="62" t="str">
        <x:v>Not assessed</x:v>
      </x:c>
      <x:c r="E16" s="62" t="str"/>
      <x:c r="F16" s="62" t="str"/>
      <x:c r="G16" s="65" t="str"/>
      <x:c r="H16" s="62" t="str"/>
      <x:c r="I16" s="88" t="str">
        <x:v>Confirm Gates 0-3 approvals, change window and operators, source retention, monitoring/evidence owners, reconciliation owner, rollback triggers, and decision authority.</x:v>
      </x:c>
    </x:row>
    <x:row r="17" ht="48" customHeight="1">
      <x:c r="A17" s="87" t="str">
        <x:v>P02</x:v>
      </x:c>
      <x:c r="B17" s="87" t="n">
        <x:v>5</x:v>
      </x:c>
      <x:c r="C17" s="88" t="str">
        <x:v>Reconciliation and acceptance</x:v>
      </x:c>
      <x:c r="D17" s="62" t="str">
        <x:v>Not assessed</x:v>
      </x:c>
      <x:c r="E17" s="62" t="str"/>
      <x:c r="F17" s="62" t="str"/>
      <x:c r="G17" s="65" t="str"/>
      <x:c r="H17" s="62" t="str"/>
      <x:c r="I17" s="88" t="str">
        <x:v>Record source-target counts and controls, tolerances/exclusions, key and required-field checks, trace samples, exception dispositions, consumer validation, and acceptance or rollback decision.</x:v>
      </x:c>
    </x:row>
    <x:row r="18" ht="48" customHeight="1">
      <x:c r="A18" s="87" t="str">
        <x:v>P02</x:v>
      </x:c>
      <x:c r="B18" s="87" t="n">
        <x:v>6</x:v>
      </x:c>
      <x:c r="C18" s="88" t="str">
        <x:v>Wave closed</x:v>
      </x:c>
      <x:c r="D18" s="62" t="str">
        <x:v>Not assessed</x:v>
      </x:c>
      <x:c r="E18" s="62" t="str"/>
      <x:c r="F18" s="62" t="str"/>
      <x:c r="G18" s="65" t="str"/>
      <x:c r="H18" s="62" t="str"/>
      <x:c r="I18" s="88" t="str">
        <x:v>Record final approval or rollback, reconciliation and exception disposition, source-retention and rollback-window end, evidence location/retention owner, lessons, and owned follow-ups.</x:v>
      </x:c>
    </x:row>
    <x:row r="19" ht="48" customHeight="1">
      <x:c r="A19" s="87" t="str">
        <x:v>P03</x:v>
      </x:c>
      <x:c r="B19" s="87" t="n">
        <x:v>0</x:v>
      </x:c>
      <x:c r="C19" s="88" t="str">
        <x:v>Intake accepted</x:v>
      </x:c>
      <x:c r="D19" s="62" t="str">
        <x:v>Not assessed</x:v>
      </x:c>
      <x:c r="E19" s="62" t="str"/>
      <x:c r="F19" s="62" t="str"/>
      <x:c r="G19" s="65" t="str"/>
      <x:c r="H19" s="62" t="str"/>
      <x:c r="I19" s="88" t="str">
        <x:v>Owners confirm source/domain, use, consumers, scope, entities, dates, volume/update pattern, dependencies, handling constraints, and open questions.</x:v>
      </x:c>
    </x:row>
    <x:row r="20" ht="48" customHeight="1">
      <x:c r="A20" s="87" t="str">
        <x:v>P03</x:v>
      </x:c>
      <x:c r="B20" s="87" t="n">
        <x:v>1</x:v>
      </x:c>
      <x:c r="C20" s="88" t="str">
        <x:v>Source qualified</x:v>
      </x:c>
      <x:c r="D20" s="62" t="str">
        <x:v>Not assessed</x:v>
      </x:c>
      <x:c r="E20" s="62" t="str"/>
      <x:c r="F20" s="62" t="str"/>
      <x:c r="G20" s="65" t="str"/>
      <x:c r="H20" s="62" t="str"/>
      <x:c r="I20" s="88" t="str">
        <x:v>Assess schema/keys/quality, history and change behavior, extract boundary/repeatability, lineage/security, support, dependencies, and reconciliation limits. Record disposition in Source Register.</x:v>
      </x:c>
    </x:row>
    <x:row r="21" ht="48" customHeight="1">
      <x:c r="A21" s="87" t="str">
        <x:v>P03</x:v>
      </x:c>
      <x:c r="B21" s="87" t="n">
        <x:v>2</x:v>
      </x:c>
      <x:c r="C21" s="88" t="str">
        <x:v>Mapping and acceptance design approved</x:v>
      </x:c>
      <x:c r="D21" s="62" t="str">
        <x:v>Not assessed</x:v>
      </x:c>
      <x:c r="E21" s="62" t="str"/>
      <x:c r="F21" s="62" t="str"/>
      <x:c r="G21" s="65" t="str"/>
      <x:c r="H21" s="62" t="str"/>
      <x:c r="I21" s="88" t="str">
        <x:v>Approve versioned mapping and transformation rules, late/corrected/deleted-record handling, exception and reconciliation rules, required security review, consumer criteria, cutover/rollback triggers, and rollback owner.</x:v>
      </x:c>
    </x:row>
    <x:row r="22" ht="48" customHeight="1">
      <x:c r="A22" s="87" t="str">
        <x:v>P03</x:v>
      </x:c>
      <x:c r="B22" s="87" t="n">
        <x:v>3</x:v>
      </x:c>
      <x:c r="C22" s="88" t="str">
        <x:v>Dry run ready</x:v>
      </x:c>
      <x:c r="D22" s="62" t="str">
        <x:v>Not assessed</x:v>
      </x:c>
      <x:c r="E22" s="62" t="str"/>
      <x:c r="F22" s="62" t="str"/>
      <x:c r="G22" s="65" t="str"/>
      <x:c r="H22" s="62" t="str"/>
      <x:c r="I22" s="88" t="str">
        <x:v>Record bounded scope and source boundary, run ID/configuration, logs and duration, reconciliation and exceptions, restart/replay proof, rollback steps, and open blockers.</x:v>
      </x:c>
    </x:row>
    <x:row r="23" ht="48" customHeight="1">
      <x:c r="A23" s="87" t="str">
        <x:v>P03</x:v>
      </x:c>
      <x:c r="B23" s="87" t="n">
        <x:v>4</x:v>
      </x:c>
      <x:c r="C23" s="88" t="str">
        <x:v>Production wave entry</x:v>
      </x:c>
      <x:c r="D23" s="62" t="str">
        <x:v>Not assessed</x:v>
      </x:c>
      <x:c r="E23" s="62" t="str"/>
      <x:c r="F23" s="62" t="str"/>
      <x:c r="G23" s="65" t="str"/>
      <x:c r="H23" s="62" t="str"/>
      <x:c r="I23" s="88" t="str">
        <x:v>Confirm Gates 0-3 approvals, change window and operators, source retention, monitoring/evidence owners, reconciliation owner, rollback triggers, and decision authority.</x:v>
      </x:c>
    </x:row>
    <x:row r="24" ht="48" customHeight="1">
      <x:c r="A24" s="87" t="str">
        <x:v>P03</x:v>
      </x:c>
      <x:c r="B24" s="87" t="n">
        <x:v>5</x:v>
      </x:c>
      <x:c r="C24" s="88" t="str">
        <x:v>Reconciliation and acceptance</x:v>
      </x:c>
      <x:c r="D24" s="62" t="str">
        <x:v>Not assessed</x:v>
      </x:c>
      <x:c r="E24" s="62" t="str"/>
      <x:c r="F24" s="62" t="str"/>
      <x:c r="G24" s="65" t="str"/>
      <x:c r="H24" s="62" t="str"/>
      <x:c r="I24" s="88" t="str">
        <x:v>Record source-target counts and controls, tolerances/exclusions, key and required-field checks, trace samples, exception dispositions, consumer validation, and acceptance or rollback decision.</x:v>
      </x:c>
    </x:row>
    <x:row r="25" ht="48" customHeight="1">
      <x:c r="A25" s="87" t="str">
        <x:v>P03</x:v>
      </x:c>
      <x:c r="B25" s="87" t="n">
        <x:v>6</x:v>
      </x:c>
      <x:c r="C25" s="88" t="str">
        <x:v>Wave closed</x:v>
      </x:c>
      <x:c r="D25" s="62" t="str">
        <x:v>Not assessed</x:v>
      </x:c>
      <x:c r="E25" s="62" t="str"/>
      <x:c r="F25" s="62" t="str"/>
      <x:c r="G25" s="65" t="str"/>
      <x:c r="H25" s="62" t="str"/>
      <x:c r="I25" s="88" t="str">
        <x:v>Record final approval or rollback, reconciliation and exception disposition, source-retention and rollback-window end, evidence location/retention owner, lessons, and owned follow-ups.</x:v>
      </x:c>
    </x:row>
    <x:row r="26" ht="32" customHeight="1">
      <x:c r="A26" s="87"/>
      <x:c r="B26" s="87"/>
      <x:c r="C26" s="88"/>
      <x:c r="D26" s="62"/>
      <x:c r="E26" s="62"/>
      <x:c r="F26" s="62"/>
      <x:c r="G26" s="65"/>
      <x:c r="H26" s="62"/>
      <x:c r="I26" s="87"/>
    </x:row>
    <x:row r="27" ht="32" customHeight="1">
      <x:c r="A27" s="87"/>
      <x:c r="B27" s="87"/>
      <x:c r="C27" s="88"/>
      <x:c r="D27" s="62"/>
      <x:c r="E27" s="62"/>
      <x:c r="F27" s="62"/>
      <x:c r="G27" s="65"/>
      <x:c r="H27" s="62"/>
      <x:c r="I27" s="87"/>
    </x:row>
    <x:row r="28" ht="32" customHeight="1">
      <x:c r="A28" s="87"/>
      <x:c r="B28" s="87"/>
      <x:c r="C28" s="88"/>
      <x:c r="D28" s="62"/>
      <x:c r="E28" s="62"/>
      <x:c r="F28" s="62"/>
      <x:c r="G28" s="65"/>
      <x:c r="H28" s="62"/>
      <x:c r="I28" s="87"/>
    </x:row>
    <x:row r="29" ht="32" customHeight="1">
      <x:c r="A29" s="87"/>
      <x:c r="B29" s="87"/>
      <x:c r="C29" s="88"/>
      <x:c r="D29" s="62"/>
      <x:c r="E29" s="62"/>
      <x:c r="F29" s="62"/>
      <x:c r="G29" s="65"/>
      <x:c r="H29" s="62"/>
      <x:c r="I29" s="87"/>
    </x:row>
    <x:row r="30" ht="32" customHeight="1">
      <x:c r="A30" s="87"/>
      <x:c r="B30" s="87"/>
      <x:c r="C30" s="88"/>
      <x:c r="D30" s="62"/>
      <x:c r="E30" s="62"/>
      <x:c r="F30" s="62"/>
      <x:c r="G30" s="65"/>
      <x:c r="H30" s="62"/>
      <x:c r="I30" s="87"/>
    </x:row>
    <x:row r="31" ht="32" customHeight="1">
      <x:c r="A31" s="87"/>
      <x:c r="B31" s="87"/>
      <x:c r="C31" s="88"/>
      <x:c r="D31" s="62"/>
      <x:c r="E31" s="62"/>
      <x:c r="F31" s="62"/>
      <x:c r="G31" s="65"/>
      <x:c r="H31" s="62"/>
      <x:c r="I31" s="87"/>
    </x:row>
    <x:row r="32" ht="32" customHeight="1">
      <x:c r="A32" s="87"/>
      <x:c r="B32" s="87"/>
      <x:c r="C32" s="88"/>
      <x:c r="D32" s="62"/>
      <x:c r="E32" s="62"/>
      <x:c r="F32" s="62"/>
      <x:c r="G32" s="65"/>
      <x:c r="H32" s="62"/>
      <x:c r="I32" s="87"/>
    </x:row>
    <x:row r="33" ht="32" customHeight="1">
      <x:c r="A33" s="87"/>
      <x:c r="B33" s="87"/>
      <x:c r="C33" s="88"/>
      <x:c r="D33" s="62"/>
      <x:c r="E33" s="62"/>
      <x:c r="F33" s="62"/>
      <x:c r="G33" s="65"/>
      <x:c r="H33" s="62"/>
      <x:c r="I33" s="87"/>
    </x:row>
    <x:row r="34" ht="32" customHeight="1">
      <x:c r="A34" s="87"/>
      <x:c r="B34" s="87"/>
      <x:c r="C34" s="88"/>
      <x:c r="D34" s="62"/>
      <x:c r="E34" s="62"/>
      <x:c r="F34" s="62"/>
      <x:c r="G34" s="65"/>
      <x:c r="H34" s="62"/>
      <x:c r="I34" s="87"/>
    </x:row>
    <x:row r="35">
      <x:c r="A35" s="87"/>
      <x:c r="B35" s="87"/>
      <x:c r="C35" s="88"/>
      <x:c r="D35" s="62"/>
      <x:c r="E35" s="62"/>
      <x:c r="F35" s="62"/>
      <x:c r="G35" s="65"/>
      <x:c r="H35" s="62"/>
      <x:c r="I35" s="87"/>
    </x:row>
    <x:row r="36">
      <x:c r="A36" s="87"/>
      <x:c r="B36" s="87"/>
      <x:c r="C36" s="88"/>
      <x:c r="D36" s="62"/>
      <x:c r="E36" s="62"/>
      <x:c r="F36" s="62"/>
      <x:c r="G36" s="65"/>
      <x:c r="H36" s="62"/>
      <x:c r="I36" s="87"/>
    </x:row>
    <x:row r="37">
      <x:c r="A37" s="87"/>
      <x:c r="B37" s="87"/>
      <x:c r="C37" s="88"/>
      <x:c r="D37" s="62"/>
      <x:c r="E37" s="62"/>
      <x:c r="F37" s="62"/>
      <x:c r="G37" s="65"/>
      <x:c r="H37" s="62"/>
      <x:c r="I37" s="87"/>
    </x:row>
    <x:row r="38">
      <x:c r="A38" s="87"/>
      <x:c r="B38" s="87"/>
      <x:c r="C38" s="88"/>
      <x:c r="D38" s="62"/>
      <x:c r="E38" s="62"/>
      <x:c r="F38" s="62"/>
      <x:c r="G38" s="65"/>
      <x:c r="H38" s="62"/>
      <x:c r="I38" s="87"/>
    </x:row>
    <x:row r="39">
      <x:c r="A39" s="87"/>
      <x:c r="B39" s="87"/>
      <x:c r="C39" s="88"/>
      <x:c r="D39" s="62"/>
      <x:c r="E39" s="62"/>
      <x:c r="F39" s="62"/>
      <x:c r="G39" s="65"/>
      <x:c r="H39" s="62"/>
      <x:c r="I39" s="87"/>
    </x:row>
    <x:row r="40">
      <x:c r="A40" s="87"/>
      <x:c r="B40" s="87"/>
      <x:c r="C40" s="88"/>
      <x:c r="D40" s="62"/>
      <x:c r="E40" s="62"/>
      <x:c r="F40" s="62"/>
      <x:c r="G40" s="65"/>
      <x:c r="H40" s="62"/>
      <x:c r="I40" s="87"/>
    </x:row>
    <x:row r="41">
      <x:c r="A41" s="87"/>
      <x:c r="B41" s="87"/>
      <x:c r="C41" s="88"/>
      <x:c r="D41" s="62"/>
      <x:c r="E41" s="62"/>
      <x:c r="F41" s="62"/>
      <x:c r="G41" s="65"/>
      <x:c r="H41" s="62"/>
      <x:c r="I41" s="87"/>
    </x:row>
    <x:row r="42">
      <x:c r="A42" s="87"/>
      <x:c r="B42" s="87"/>
      <x:c r="C42" s="88"/>
      <x:c r="D42" s="62"/>
      <x:c r="E42" s="62"/>
      <x:c r="F42" s="62"/>
      <x:c r="G42" s="65"/>
      <x:c r="H42" s="62"/>
      <x:c r="I42" s="87"/>
    </x:row>
    <x:row r="43">
      <x:c r="A43" s="87"/>
      <x:c r="B43" s="87"/>
      <x:c r="C43" s="88"/>
      <x:c r="D43" s="62"/>
      <x:c r="E43" s="62"/>
      <x:c r="F43" s="62"/>
      <x:c r="G43" s="65"/>
      <x:c r="H43" s="62"/>
      <x:c r="I43" s="87"/>
    </x:row>
    <x:row r="44">
      <x:c r="A44" s="87"/>
      <x:c r="B44" s="87"/>
      <x:c r="C44" s="88"/>
      <x:c r="D44" s="62"/>
      <x:c r="E44" s="62"/>
      <x:c r="F44" s="62"/>
      <x:c r="G44" s="65"/>
      <x:c r="H44" s="62"/>
      <x:c r="I44" s="87"/>
    </x:row>
    <x:row r="45">
      <x:c r="A45" s="87"/>
      <x:c r="B45" s="87"/>
      <x:c r="C45" s="88"/>
      <x:c r="D45" s="62"/>
      <x:c r="E45" s="62"/>
      <x:c r="F45" s="62"/>
      <x:c r="G45" s="65"/>
      <x:c r="H45" s="62"/>
      <x:c r="I45" s="87"/>
    </x:row>
    <x:row r="46">
      <x:c r="A46" s="87"/>
      <x:c r="B46" s="87"/>
      <x:c r="C46" s="88"/>
      <x:c r="D46" s="62"/>
      <x:c r="E46" s="62"/>
      <x:c r="F46" s="62"/>
      <x:c r="G46" s="65"/>
      <x:c r="H46" s="62"/>
      <x:c r="I46" s="87"/>
    </x:row>
    <x:row r="47">
      <x:c r="A47" s="87"/>
      <x:c r="B47" s="87"/>
      <x:c r="C47" s="88"/>
      <x:c r="D47" s="62"/>
      <x:c r="E47" s="62"/>
      <x:c r="F47" s="62"/>
      <x:c r="G47" s="65"/>
      <x:c r="H47" s="62"/>
      <x:c r="I47" s="87"/>
    </x:row>
    <x:row r="48">
      <x:c r="A48" s="87"/>
      <x:c r="B48" s="87"/>
      <x:c r="C48" s="88"/>
      <x:c r="D48" s="62"/>
      <x:c r="E48" s="62"/>
      <x:c r="F48" s="62"/>
      <x:c r="G48" s="65"/>
      <x:c r="H48" s="62"/>
      <x:c r="I48" s="87"/>
    </x:row>
    <x:row r="49">
      <x:c r="A49" s="87"/>
      <x:c r="B49" s="87"/>
      <x:c r="C49" s="88"/>
      <x:c r="D49" s="62"/>
      <x:c r="E49" s="62"/>
      <x:c r="F49" s="62"/>
      <x:c r="G49" s="65"/>
      <x:c r="H49" s="62"/>
      <x:c r="I49" s="87"/>
    </x:row>
    <x:row r="50">
      <x:c r="A50" s="87"/>
      <x:c r="B50" s="87"/>
      <x:c r="C50" s="88"/>
      <x:c r="D50" s="62"/>
      <x:c r="E50" s="62"/>
      <x:c r="F50" s="62"/>
      <x:c r="G50" s="65"/>
      <x:c r="H50" s="62"/>
      <x:c r="I50" s="87"/>
    </x:row>
    <x:row r="51">
      <x:c r="A51" s="87"/>
      <x:c r="B51" s="87"/>
      <x:c r="C51" s="88"/>
      <x:c r="D51" s="62"/>
      <x:c r="E51" s="62"/>
      <x:c r="F51" s="62"/>
      <x:c r="G51" s="65"/>
      <x:c r="H51" s="62"/>
      <x:c r="I51" s="87"/>
    </x:row>
    <x:row r="52">
      <x:c r="A52" s="87"/>
      <x:c r="B52" s="87"/>
      <x:c r="C52" s="88"/>
      <x:c r="D52" s="62"/>
      <x:c r="E52" s="62"/>
      <x:c r="F52" s="62"/>
      <x:c r="G52" s="65"/>
      <x:c r="H52" s="62"/>
      <x:c r="I52" s="87"/>
    </x:row>
    <x:row r="53">
      <x:c r="A53" s="87"/>
      <x:c r="B53" s="87"/>
      <x:c r="C53" s="88"/>
      <x:c r="D53" s="62"/>
      <x:c r="E53" s="62"/>
      <x:c r="F53" s="62"/>
      <x:c r="G53" s="65"/>
      <x:c r="H53" s="62"/>
      <x:c r="I53" s="87"/>
    </x:row>
    <x:row r="54">
      <x:c r="A54" s="87"/>
      <x:c r="B54" s="87"/>
      <x:c r="C54" s="88"/>
      <x:c r="D54" s="62"/>
      <x:c r="E54" s="62"/>
      <x:c r="F54" s="62"/>
      <x:c r="G54" s="65"/>
      <x:c r="H54" s="62"/>
      <x:c r="I54" s="87"/>
    </x:row>
    <x:row r="55">
      <x:c r="A55" s="87"/>
      <x:c r="B55" s="87"/>
      <x:c r="C55" s="88"/>
      <x:c r="D55" s="62"/>
      <x:c r="E55" s="62"/>
      <x:c r="F55" s="62"/>
      <x:c r="G55" s="65"/>
      <x:c r="H55" s="62"/>
      <x:c r="I55" s="87"/>
    </x:row>
    <x:row r="56">
      <x:c r="A56" s="87"/>
      <x:c r="B56" s="87"/>
      <x:c r="C56" s="88"/>
      <x:c r="D56" s="62"/>
      <x:c r="E56" s="62"/>
      <x:c r="F56" s="62"/>
      <x:c r="G56" s="65"/>
      <x:c r="H56" s="62"/>
      <x:c r="I56" s="87"/>
    </x:row>
    <x:row r="57">
      <x:c r="A57" s="87"/>
      <x:c r="B57" s="87"/>
      <x:c r="C57" s="88"/>
      <x:c r="D57" s="62"/>
      <x:c r="E57" s="62"/>
      <x:c r="F57" s="62"/>
      <x:c r="G57" s="65"/>
      <x:c r="H57" s="62"/>
      <x:c r="I57" s="87"/>
    </x:row>
    <x:row r="58">
      <x:c r="A58" s="87"/>
      <x:c r="B58" s="87"/>
      <x:c r="C58" s="88"/>
      <x:c r="D58" s="62"/>
      <x:c r="E58" s="62"/>
      <x:c r="F58" s="62"/>
      <x:c r="G58" s="65"/>
      <x:c r="H58" s="62"/>
      <x:c r="I58" s="87"/>
    </x:row>
    <x:row r="59">
      <x:c r="A59" s="87"/>
      <x:c r="B59" s="87"/>
      <x:c r="C59" s="88"/>
      <x:c r="D59" s="62"/>
      <x:c r="E59" s="62"/>
      <x:c r="F59" s="62"/>
      <x:c r="G59" s="65"/>
      <x:c r="H59" s="62"/>
      <x:c r="I59" s="87"/>
    </x:row>
    <x:row r="60">
      <x:c r="A60" s="87"/>
      <x:c r="B60" s="87"/>
      <x:c r="C60" s="88"/>
      <x:c r="D60" s="62"/>
      <x:c r="E60" s="62"/>
      <x:c r="F60" s="62"/>
      <x:c r="G60" s="65"/>
      <x:c r="H60" s="62"/>
      <x:c r="I60" s="87"/>
    </x:row>
    <x:row r="61">
      <x:c r="A61" s="87"/>
      <x:c r="B61" s="87"/>
      <x:c r="C61" s="88"/>
      <x:c r="D61" s="62"/>
      <x:c r="E61" s="62"/>
      <x:c r="F61" s="62"/>
      <x:c r="G61" s="65"/>
      <x:c r="H61" s="62"/>
      <x:c r="I61" s="87"/>
    </x:row>
    <x:row r="62">
      <x:c r="A62" s="87"/>
      <x:c r="B62" s="87"/>
      <x:c r="C62" s="88"/>
      <x:c r="D62" s="62"/>
      <x:c r="E62" s="62"/>
      <x:c r="F62" s="62"/>
      <x:c r="G62" s="65"/>
      <x:c r="H62" s="62"/>
      <x:c r="I62" s="87"/>
    </x:row>
    <x:row r="63">
      <x:c r="A63" s="87"/>
      <x:c r="B63" s="87"/>
      <x:c r="C63" s="88"/>
      <x:c r="D63" s="62"/>
      <x:c r="E63" s="62"/>
      <x:c r="F63" s="62"/>
      <x:c r="G63" s="65"/>
      <x:c r="H63" s="62"/>
      <x:c r="I63" s="87"/>
    </x:row>
    <x:row r="64">
      <x:c r="A64" s="87"/>
      <x:c r="B64" s="87"/>
      <x:c r="C64" s="88"/>
      <x:c r="D64" s="62"/>
      <x:c r="E64" s="62"/>
      <x:c r="F64" s="62"/>
      <x:c r="G64" s="65"/>
      <x:c r="H64" s="62"/>
      <x:c r="I64" s="87"/>
    </x:row>
    <x:row r="65">
      <x:c r="A65" s="87"/>
      <x:c r="B65" s="87"/>
      <x:c r="C65" s="88"/>
      <x:c r="D65" s="62"/>
      <x:c r="E65" s="62"/>
      <x:c r="F65" s="62"/>
      <x:c r="G65" s="65"/>
      <x:c r="H65" s="62"/>
      <x:c r="I65" s="87"/>
    </x:row>
    <x:row r="66">
      <x:c r="A66" s="87"/>
      <x:c r="B66" s="87"/>
      <x:c r="C66" s="88"/>
      <x:c r="D66" s="62"/>
      <x:c r="E66" s="62"/>
      <x:c r="F66" s="62"/>
      <x:c r="G66" s="65"/>
      <x:c r="H66" s="62"/>
      <x:c r="I66" s="87"/>
    </x:row>
    <x:row r="67">
      <x:c r="A67" s="87"/>
      <x:c r="B67" s="87"/>
      <x:c r="C67" s="88"/>
      <x:c r="D67" s="62"/>
      <x:c r="E67" s="62"/>
      <x:c r="F67" s="62"/>
      <x:c r="G67" s="65"/>
      <x:c r="H67" s="62"/>
      <x:c r="I67" s="87"/>
    </x:row>
    <x:row r="68">
      <x:c r="A68" s="87"/>
      <x:c r="B68" s="87"/>
      <x:c r="C68" s="88"/>
      <x:c r="D68" s="62"/>
      <x:c r="E68" s="62"/>
      <x:c r="F68" s="62"/>
      <x:c r="G68" s="65"/>
      <x:c r="H68" s="62"/>
      <x:c r="I68" s="87"/>
    </x:row>
    <x:row r="69">
      <x:c r="A69" s="87"/>
      <x:c r="B69" s="87"/>
      <x:c r="C69" s="88"/>
      <x:c r="D69" s="62"/>
      <x:c r="E69" s="62"/>
      <x:c r="F69" s="62"/>
      <x:c r="G69" s="65"/>
      <x:c r="H69" s="62"/>
      <x:c r="I69" s="87"/>
    </x:row>
    <x:row r="70">
      <x:c r="A70" s="87"/>
      <x:c r="B70" s="87"/>
      <x:c r="C70" s="88"/>
      <x:c r="D70" s="62"/>
      <x:c r="E70" s="62"/>
      <x:c r="F70" s="62"/>
      <x:c r="G70" s="65"/>
      <x:c r="H70" s="62"/>
      <x:c r="I70" s="87"/>
    </x:row>
    <x:row r="71">
      <x:c r="A71" s="87"/>
      <x:c r="B71" s="87"/>
      <x:c r="C71" s="88"/>
      <x:c r="D71" s="62"/>
      <x:c r="E71" s="62"/>
      <x:c r="F71" s="62"/>
      <x:c r="G71" s="65"/>
      <x:c r="H71" s="62"/>
      <x:c r="I71" s="87"/>
    </x:row>
    <x:row r="72">
      <x:c r="A72" s="87"/>
      <x:c r="B72" s="87"/>
      <x:c r="C72" s="88"/>
      <x:c r="D72" s="62"/>
      <x:c r="E72" s="62"/>
      <x:c r="F72" s="62"/>
      <x:c r="G72" s="65"/>
      <x:c r="H72" s="62"/>
      <x:c r="I72" s="87"/>
    </x:row>
    <x:row r="73">
      <x:c r="A73" s="87"/>
      <x:c r="B73" s="87"/>
      <x:c r="C73" s="88"/>
      <x:c r="D73" s="62"/>
      <x:c r="E73" s="62"/>
      <x:c r="F73" s="62"/>
      <x:c r="G73" s="65"/>
      <x:c r="H73" s="62"/>
      <x:c r="I73" s="87"/>
    </x:row>
    <x:row r="74">
      <x:c r="A74" s="87"/>
      <x:c r="B74" s="87"/>
      <x:c r="C74" s="88"/>
      <x:c r="D74" s="62"/>
      <x:c r="E74" s="62"/>
      <x:c r="F74" s="62"/>
      <x:c r="G74" s="65"/>
      <x:c r="H74" s="62"/>
      <x:c r="I74" s="87"/>
    </x:row>
    <x:row r="75">
      <x:c r="A75" s="87"/>
      <x:c r="B75" s="87"/>
      <x:c r="C75" s="88"/>
      <x:c r="D75" s="62"/>
      <x:c r="E75" s="62"/>
      <x:c r="F75" s="62"/>
      <x:c r="G75" s="65"/>
      <x:c r="H75" s="62"/>
      <x:c r="I75" s="87"/>
    </x:row>
    <x:row r="76">
      <x:c r="A76" s="87"/>
      <x:c r="B76" s="87"/>
      <x:c r="C76" s="88"/>
      <x:c r="D76" s="62"/>
      <x:c r="E76" s="62"/>
      <x:c r="F76" s="62"/>
      <x:c r="G76" s="65"/>
      <x:c r="H76" s="62"/>
      <x:c r="I76" s="87"/>
    </x:row>
    <x:row r="77">
      <x:c r="A77" s="87"/>
      <x:c r="B77" s="87"/>
      <x:c r="C77" s="88"/>
      <x:c r="D77" s="62"/>
      <x:c r="E77" s="62"/>
      <x:c r="F77" s="62"/>
      <x:c r="G77" s="65"/>
      <x:c r="H77" s="62"/>
      <x:c r="I77" s="87"/>
    </x:row>
    <x:row r="78">
      <x:c r="A78" s="87"/>
      <x:c r="B78" s="87"/>
      <x:c r="C78" s="88"/>
      <x:c r="D78" s="62"/>
      <x:c r="E78" s="62"/>
      <x:c r="F78" s="62"/>
      <x:c r="G78" s="65"/>
      <x:c r="H78" s="62"/>
      <x:c r="I78" s="87"/>
    </x:row>
    <x:row r="79">
      <x:c r="A79" s="87"/>
      <x:c r="B79" s="87"/>
      <x:c r="C79" s="88"/>
      <x:c r="D79" s="62"/>
      <x:c r="E79" s="62"/>
      <x:c r="F79" s="62"/>
      <x:c r="G79" s="65"/>
      <x:c r="H79" s="62"/>
      <x:c r="I79" s="87"/>
    </x:row>
    <x:row r="80">
      <x:c r="A80" s="87"/>
      <x:c r="B80" s="87"/>
      <x:c r="C80" s="88"/>
      <x:c r="D80" s="62"/>
      <x:c r="E80" s="62"/>
      <x:c r="F80" s="62"/>
      <x:c r="G80" s="65"/>
      <x:c r="H80" s="62"/>
      <x:c r="I80" s="87"/>
    </x:row>
    <x:row r="81">
      <x:c r="A81" s="87"/>
      <x:c r="B81" s="87"/>
      <x:c r="C81" s="88"/>
      <x:c r="D81" s="62"/>
      <x:c r="E81" s="62"/>
      <x:c r="F81" s="62"/>
      <x:c r="G81" s="65"/>
      <x:c r="H81" s="62"/>
      <x:c r="I81" s="87"/>
    </x:row>
    <x:row r="82">
      <x:c r="A82" s="87"/>
      <x:c r="B82" s="87"/>
      <x:c r="C82" s="88"/>
      <x:c r="D82" s="62"/>
      <x:c r="E82" s="62"/>
      <x:c r="F82" s="62"/>
      <x:c r="G82" s="65"/>
      <x:c r="H82" s="62"/>
      <x:c r="I82" s="87"/>
    </x:row>
    <x:row r="83">
      <x:c r="A83" s="87"/>
      <x:c r="B83" s="87"/>
      <x:c r="C83" s="88"/>
      <x:c r="D83" s="62"/>
      <x:c r="E83" s="62"/>
      <x:c r="F83" s="62"/>
      <x:c r="G83" s="65"/>
      <x:c r="H83" s="62"/>
      <x:c r="I83" s="87"/>
    </x:row>
    <x:row r="84">
      <x:c r="A84" s="87"/>
      <x:c r="B84" s="87"/>
      <x:c r="C84" s="88"/>
      <x:c r="D84" s="62"/>
      <x:c r="E84" s="62"/>
      <x:c r="F84" s="62"/>
      <x:c r="G84" s="65"/>
      <x:c r="H84" s="62"/>
      <x:c r="I84" s="87"/>
    </x:row>
    <x:row r="85">
      <x:c r="A85" s="87"/>
      <x:c r="B85" s="87"/>
      <x:c r="C85" s="88"/>
      <x:c r="D85" s="62"/>
      <x:c r="E85" s="62"/>
      <x:c r="F85" s="62"/>
      <x:c r="G85" s="65"/>
      <x:c r="H85" s="62"/>
      <x:c r="I85" s="87"/>
    </x:row>
    <x:row r="86">
      <x:c r="A86" s="87"/>
      <x:c r="B86" s="87"/>
      <x:c r="C86" s="88"/>
      <x:c r="D86" s="62"/>
      <x:c r="E86" s="62"/>
      <x:c r="F86" s="62"/>
      <x:c r="G86" s="65"/>
      <x:c r="H86" s="62"/>
      <x:c r="I86" s="87"/>
    </x:row>
    <x:row r="87">
      <x:c r="A87" s="87"/>
      <x:c r="B87" s="87"/>
      <x:c r="C87" s="88"/>
      <x:c r="D87" s="62"/>
      <x:c r="E87" s="62"/>
      <x:c r="F87" s="62"/>
      <x:c r="G87" s="65"/>
      <x:c r="H87" s="62"/>
      <x:c r="I87" s="87"/>
    </x:row>
    <x:row r="88">
      <x:c r="A88" s="87"/>
      <x:c r="B88" s="87"/>
      <x:c r="C88" s="88"/>
      <x:c r="D88" s="62"/>
      <x:c r="E88" s="62"/>
      <x:c r="F88" s="62"/>
      <x:c r="G88" s="65"/>
      <x:c r="H88" s="62"/>
      <x:c r="I88" s="87"/>
    </x:row>
    <x:row r="89">
      <x:c r="A89" s="87"/>
      <x:c r="B89" s="87"/>
      <x:c r="C89" s="88"/>
      <x:c r="D89" s="62"/>
      <x:c r="E89" s="62"/>
      <x:c r="F89" s="62"/>
      <x:c r="G89" s="65"/>
      <x:c r="H89" s="62"/>
      <x:c r="I89" s="87"/>
    </x:row>
    <x:row r="90">
      <x:c r="A90" s="87"/>
      <x:c r="B90" s="87"/>
      <x:c r="C90" s="88"/>
      <x:c r="D90" s="62"/>
      <x:c r="E90" s="62"/>
      <x:c r="F90" s="62"/>
      <x:c r="G90" s="65"/>
      <x:c r="H90" s="62"/>
      <x:c r="I90" s="87"/>
    </x:row>
    <x:row r="91">
      <x:c r="A91" s="87"/>
      <x:c r="B91" s="87"/>
      <x:c r="C91" s="88"/>
      <x:c r="D91" s="62"/>
      <x:c r="E91" s="62"/>
      <x:c r="F91" s="62"/>
      <x:c r="G91" s="65"/>
      <x:c r="H91" s="62"/>
      <x:c r="I91" s="87"/>
    </x:row>
    <x:row r="92">
      <x:c r="A92" s="87"/>
      <x:c r="B92" s="87"/>
      <x:c r="C92" s="88"/>
      <x:c r="D92" s="62"/>
      <x:c r="E92" s="62"/>
      <x:c r="F92" s="62"/>
      <x:c r="G92" s="65"/>
      <x:c r="H92" s="62"/>
      <x:c r="I92" s="87"/>
    </x:row>
    <x:row r="93">
      <x:c r="A93" s="87"/>
      <x:c r="B93" s="87"/>
      <x:c r="C93" s="88"/>
      <x:c r="D93" s="62"/>
      <x:c r="E93" s="62"/>
      <x:c r="F93" s="62"/>
      <x:c r="G93" s="65"/>
      <x:c r="H93" s="62"/>
      <x:c r="I93" s="87"/>
    </x:row>
    <x:row r="94">
      <x:c r="A94" s="87"/>
      <x:c r="B94" s="87"/>
      <x:c r="C94" s="88"/>
      <x:c r="D94" s="62"/>
      <x:c r="E94" s="62"/>
      <x:c r="F94" s="62"/>
      <x:c r="G94" s="65"/>
      <x:c r="H94" s="62"/>
      <x:c r="I94" s="87"/>
    </x:row>
    <x:row r="95">
      <x:c r="A95" s="87"/>
      <x:c r="B95" s="87"/>
      <x:c r="C95" s="88"/>
      <x:c r="D95" s="62"/>
      <x:c r="E95" s="62"/>
      <x:c r="F95" s="62"/>
      <x:c r="G95" s="65"/>
      <x:c r="H95" s="62"/>
      <x:c r="I95" s="87"/>
    </x:row>
    <x:row r="96">
      <x:c r="A96" s="87"/>
      <x:c r="B96" s="87"/>
      <x:c r="C96" s="88"/>
      <x:c r="D96" s="62"/>
      <x:c r="E96" s="62"/>
      <x:c r="F96" s="62"/>
      <x:c r="G96" s="65"/>
      <x:c r="H96" s="62"/>
      <x:c r="I96" s="87"/>
    </x:row>
    <x:row r="97">
      <x:c r="A97" s="87"/>
      <x:c r="B97" s="87"/>
      <x:c r="C97" s="88"/>
      <x:c r="D97" s="62"/>
      <x:c r="E97" s="62"/>
      <x:c r="F97" s="62"/>
      <x:c r="G97" s="65"/>
      <x:c r="H97" s="62"/>
      <x:c r="I97" s="87"/>
    </x:row>
    <x:row r="98">
      <x:c r="A98" s="87"/>
      <x:c r="B98" s="87"/>
      <x:c r="C98" s="88"/>
      <x:c r="D98" s="62"/>
      <x:c r="E98" s="62"/>
      <x:c r="F98" s="62"/>
      <x:c r="G98" s="65"/>
      <x:c r="H98" s="62"/>
      <x:c r="I98" s="87"/>
    </x:row>
    <x:row r="99">
      <x:c r="A99" s="87"/>
      <x:c r="B99" s="87"/>
      <x:c r="C99" s="88"/>
      <x:c r="D99" s="62"/>
      <x:c r="E99" s="62"/>
      <x:c r="F99" s="62"/>
      <x:c r="G99" s="65"/>
      <x:c r="H99" s="62"/>
      <x:c r="I99" s="87"/>
    </x:row>
    <x:row r="100">
      <x:c r="A100" s="87"/>
      <x:c r="B100" s="87"/>
      <x:c r="C100" s="88"/>
      <x:c r="D100" s="62"/>
      <x:c r="E100" s="62"/>
      <x:c r="F100" s="62"/>
      <x:c r="G100" s="65"/>
      <x:c r="H100" s="62"/>
      <x:c r="I100" s="87"/>
    </x:row>
    <x:row r="101">
      <x:c r="A101" s="87"/>
      <x:c r="B101" s="87"/>
      <x:c r="C101" s="88"/>
      <x:c r="D101" s="62"/>
      <x:c r="E101" s="62"/>
      <x:c r="F101" s="62"/>
      <x:c r="G101" s="65"/>
      <x:c r="H101" s="62"/>
      <x:c r="I101" s="87"/>
    </x:row>
    <x:row r="102">
      <x:c r="A102" s="87"/>
      <x:c r="B102" s="87"/>
      <x:c r="C102" s="88"/>
      <x:c r="D102" s="62"/>
      <x:c r="E102" s="62"/>
      <x:c r="F102" s="62"/>
      <x:c r="G102" s="65"/>
      <x:c r="H102" s="62"/>
      <x:c r="I102" s="87"/>
    </x:row>
    <x:row r="103">
      <x:c r="A103" s="87"/>
      <x:c r="B103" s="87"/>
      <x:c r="C103" s="88"/>
      <x:c r="D103" s="62"/>
      <x:c r="E103" s="62"/>
      <x:c r="F103" s="62"/>
      <x:c r="G103" s="65"/>
      <x:c r="H103" s="62"/>
      <x:c r="I103" s="87"/>
    </x:row>
    <x:row r="104">
      <x:c r="A104" s="87"/>
      <x:c r="B104" s="87"/>
      <x:c r="C104" s="88"/>
      <x:c r="D104" s="62"/>
      <x:c r="E104" s="62"/>
      <x:c r="F104" s="62"/>
      <x:c r="G104" s="65"/>
      <x:c r="H104" s="62"/>
      <x:c r="I104" s="87"/>
    </x:row>
    <x:row r="105">
      <x:c r="A105" s="87"/>
      <x:c r="B105" s="87"/>
      <x:c r="C105" s="88"/>
      <x:c r="D105" s="62"/>
      <x:c r="E105" s="62"/>
      <x:c r="F105" s="62"/>
      <x:c r="G105" s="65"/>
      <x:c r="H105" s="62"/>
      <x:c r="I105" s="87"/>
    </x:row>
    <x:row r="106">
      <x:c r="A106" s="87"/>
      <x:c r="B106" s="87"/>
      <x:c r="C106" s="88"/>
      <x:c r="D106" s="62"/>
      <x:c r="E106" s="62"/>
      <x:c r="F106" s="62"/>
      <x:c r="G106" s="65"/>
      <x:c r="H106" s="62"/>
      <x:c r="I106" s="87"/>
    </x:row>
    <x:row r="107">
      <x:c r="A107" s="87"/>
      <x:c r="B107" s="87"/>
      <x:c r="C107" s="88"/>
      <x:c r="D107" s="62"/>
      <x:c r="E107" s="62"/>
      <x:c r="F107" s="62"/>
      <x:c r="G107" s="65"/>
      <x:c r="H107" s="62"/>
      <x:c r="I107" s="87"/>
    </x:row>
    <x:row r="108">
      <x:c r="A108" s="87"/>
      <x:c r="B108" s="87"/>
      <x:c r="C108" s="88"/>
      <x:c r="D108" s="62"/>
      <x:c r="E108" s="62"/>
      <x:c r="F108" s="62"/>
      <x:c r="G108" s="65"/>
      <x:c r="H108" s="62"/>
      <x:c r="I108" s="87"/>
    </x:row>
    <x:row r="109">
      <x:c r="A109" s="87"/>
      <x:c r="B109" s="87"/>
      <x:c r="C109" s="88"/>
      <x:c r="D109" s="62"/>
      <x:c r="E109" s="62"/>
      <x:c r="F109" s="62"/>
      <x:c r="G109" s="65"/>
      <x:c r="H109" s="62"/>
      <x:c r="I109" s="87"/>
    </x:row>
    <x:row r="110">
      <x:c r="A110" s="87"/>
      <x:c r="B110" s="87"/>
      <x:c r="C110" s="88"/>
      <x:c r="D110" s="62"/>
      <x:c r="E110" s="62"/>
      <x:c r="F110" s="62"/>
      <x:c r="G110" s="65"/>
      <x:c r="H110" s="62"/>
      <x:c r="I110" s="87"/>
    </x:row>
    <x:row r="111">
      <x:c r="A111" s="87"/>
      <x:c r="B111" s="87"/>
      <x:c r="C111" s="88"/>
      <x:c r="D111" s="62"/>
      <x:c r="E111" s="62"/>
      <x:c r="F111" s="62"/>
      <x:c r="G111" s="65"/>
      <x:c r="H111" s="62"/>
      <x:c r="I111" s="87"/>
    </x:row>
    <x:row r="112">
      <x:c r="A112" s="87"/>
      <x:c r="B112" s="87"/>
      <x:c r="C112" s="88"/>
      <x:c r="D112" s="62"/>
      <x:c r="E112" s="62"/>
      <x:c r="F112" s="62"/>
      <x:c r="G112" s="65"/>
      <x:c r="H112" s="62"/>
      <x:c r="I112" s="87"/>
    </x:row>
    <x:row r="113">
      <x:c r="A113" s="87"/>
      <x:c r="B113" s="87"/>
      <x:c r="C113" s="88"/>
      <x:c r="D113" s="62"/>
      <x:c r="E113" s="62"/>
      <x:c r="F113" s="62"/>
      <x:c r="G113" s="65"/>
      <x:c r="H113" s="62"/>
      <x:c r="I113" s="87"/>
    </x:row>
    <x:row r="114">
      <x:c r="A114" s="87"/>
      <x:c r="B114" s="87"/>
      <x:c r="C114" s="88"/>
      <x:c r="D114" s="62"/>
      <x:c r="E114" s="62"/>
      <x:c r="F114" s="62"/>
      <x:c r="G114" s="65"/>
      <x:c r="H114" s="62"/>
      <x:c r="I114" s="87"/>
    </x:row>
    <x:row r="115">
      <x:c r="A115" s="87"/>
      <x:c r="B115" s="87"/>
      <x:c r="C115" s="88"/>
      <x:c r="D115" s="62"/>
      <x:c r="E115" s="62"/>
      <x:c r="F115" s="62"/>
      <x:c r="G115" s="65"/>
      <x:c r="H115" s="62"/>
      <x:c r="I115" s="87"/>
    </x:row>
    <x:row r="116">
      <x:c r="A116" s="87"/>
      <x:c r="B116" s="87"/>
      <x:c r="C116" s="88"/>
      <x:c r="D116" s="62"/>
      <x:c r="E116" s="62"/>
      <x:c r="F116" s="62"/>
      <x:c r="G116" s="65"/>
      <x:c r="H116" s="62"/>
      <x:c r="I116" s="87"/>
    </x:row>
    <x:row r="117">
      <x:c r="A117" s="87"/>
      <x:c r="B117" s="87"/>
      <x:c r="C117" s="88"/>
      <x:c r="D117" s="62"/>
      <x:c r="E117" s="62"/>
      <x:c r="F117" s="62"/>
      <x:c r="G117" s="65"/>
      <x:c r="H117" s="62"/>
      <x:c r="I117" s="87"/>
    </x:row>
    <x:row r="118">
      <x:c r="A118" s="87"/>
      <x:c r="B118" s="87"/>
      <x:c r="C118" s="88"/>
      <x:c r="D118" s="62"/>
      <x:c r="E118" s="62"/>
      <x:c r="F118" s="62"/>
      <x:c r="G118" s="65"/>
      <x:c r="H118" s="62"/>
      <x:c r="I118" s="87"/>
    </x:row>
    <x:row r="119">
      <x:c r="A119" s="87"/>
      <x:c r="B119" s="87"/>
      <x:c r="C119" s="88"/>
      <x:c r="D119" s="62"/>
      <x:c r="E119" s="62"/>
      <x:c r="F119" s="62"/>
      <x:c r="G119" s="65"/>
      <x:c r="H119" s="62"/>
      <x:c r="I119" s="87"/>
    </x:row>
    <x:row r="120">
      <x:c r="A120" s="87"/>
      <x:c r="B120" s="87"/>
      <x:c r="C120" s="88"/>
      <x:c r="D120" s="62"/>
      <x:c r="E120" s="62"/>
      <x:c r="F120" s="62"/>
      <x:c r="G120" s="65"/>
      <x:c r="H120" s="62"/>
      <x:c r="I120" s="87"/>
    </x:row>
    <x:row r="121">
      <x:c r="A121" s="87"/>
      <x:c r="B121" s="87"/>
      <x:c r="C121" s="88"/>
      <x:c r="D121" s="62"/>
      <x:c r="E121" s="62"/>
      <x:c r="F121" s="62"/>
      <x:c r="G121" s="65"/>
      <x:c r="H121" s="62"/>
      <x:c r="I121" s="87"/>
    </x:row>
    <x:row r="122">
      <x:c r="A122" s="87"/>
      <x:c r="B122" s="87"/>
      <x:c r="C122" s="88"/>
      <x:c r="D122" s="62"/>
      <x:c r="E122" s="62"/>
      <x:c r="F122" s="62"/>
      <x:c r="G122" s="65"/>
      <x:c r="H122" s="62"/>
      <x:c r="I122" s="87"/>
    </x:row>
    <x:row r="123">
      <x:c r="A123" s="87"/>
      <x:c r="B123" s="87"/>
      <x:c r="C123" s="88"/>
      <x:c r="D123" s="62"/>
      <x:c r="E123" s="62"/>
      <x:c r="F123" s="62"/>
      <x:c r="G123" s="65"/>
      <x:c r="H123" s="62"/>
      <x:c r="I123" s="87"/>
    </x:row>
    <x:row r="124">
      <x:c r="A124" s="87"/>
      <x:c r="B124" s="87"/>
      <x:c r="C124" s="88"/>
      <x:c r="D124" s="62"/>
      <x:c r="E124" s="62"/>
      <x:c r="F124" s="62"/>
      <x:c r="G124" s="65"/>
      <x:c r="H124" s="62"/>
      <x:c r="I124" s="87"/>
    </x:row>
    <x:row r="125">
      <x:c r="A125" s="87"/>
      <x:c r="B125" s="87"/>
      <x:c r="C125" s="88"/>
      <x:c r="D125" s="62"/>
      <x:c r="E125" s="62"/>
      <x:c r="F125" s="62"/>
      <x:c r="G125" s="65"/>
      <x:c r="H125" s="62"/>
      <x:c r="I125" s="87"/>
    </x:row>
    <x:row r="126">
      <x:c r="A126" s="87"/>
      <x:c r="B126" s="87"/>
      <x:c r="C126" s="88"/>
      <x:c r="D126" s="62"/>
      <x:c r="E126" s="62"/>
      <x:c r="F126" s="62"/>
      <x:c r="G126" s="65"/>
      <x:c r="H126" s="62"/>
      <x:c r="I126" s="87"/>
    </x:row>
    <x:row r="127">
      <x:c r="A127" s="87"/>
      <x:c r="B127" s="87"/>
      <x:c r="C127" s="88"/>
      <x:c r="D127" s="62"/>
      <x:c r="E127" s="62"/>
      <x:c r="F127" s="62"/>
      <x:c r="G127" s="65"/>
      <x:c r="H127" s="62"/>
      <x:c r="I127" s="87"/>
    </x:row>
    <x:row r="128">
      <x:c r="A128" s="87"/>
      <x:c r="B128" s="87"/>
      <x:c r="C128" s="88"/>
      <x:c r="D128" s="62"/>
      <x:c r="E128" s="62"/>
      <x:c r="F128" s="62"/>
      <x:c r="G128" s="65"/>
      <x:c r="H128" s="62"/>
      <x:c r="I128" s="87"/>
    </x:row>
    <x:row r="129">
      <x:c r="A129" s="87"/>
      <x:c r="B129" s="87"/>
      <x:c r="C129" s="88"/>
      <x:c r="D129" s="62"/>
      <x:c r="E129" s="62"/>
      <x:c r="F129" s="62"/>
      <x:c r="G129" s="65"/>
      <x:c r="H129" s="62"/>
      <x:c r="I129" s="87"/>
    </x:row>
    <x:row r="130">
      <x:c r="A130" s="87"/>
      <x:c r="B130" s="87"/>
      <x:c r="C130" s="88"/>
      <x:c r="D130" s="62"/>
      <x:c r="E130" s="62"/>
      <x:c r="F130" s="62"/>
      <x:c r="G130" s="65"/>
      <x:c r="H130" s="62"/>
      <x:c r="I130" s="87"/>
    </x:row>
    <x:row r="131">
      <x:c r="A131" s="87"/>
      <x:c r="B131" s="87"/>
      <x:c r="C131" s="88"/>
      <x:c r="D131" s="62"/>
      <x:c r="E131" s="62"/>
      <x:c r="F131" s="62"/>
      <x:c r="G131" s="65"/>
      <x:c r="H131" s="62"/>
      <x:c r="I131" s="87"/>
    </x:row>
    <x:row r="132">
      <x:c r="A132" s="87"/>
      <x:c r="B132" s="87"/>
      <x:c r="C132" s="88"/>
      <x:c r="D132" s="62"/>
      <x:c r="E132" s="62"/>
      <x:c r="F132" s="62"/>
      <x:c r="G132" s="65"/>
      <x:c r="H132" s="62"/>
      <x:c r="I132" s="87"/>
    </x:row>
    <x:row r="133">
      <x:c r="A133" s="87"/>
      <x:c r="B133" s="87"/>
      <x:c r="C133" s="88"/>
      <x:c r="D133" s="62"/>
      <x:c r="E133" s="62"/>
      <x:c r="F133" s="62"/>
      <x:c r="G133" s="65"/>
      <x:c r="H133" s="62"/>
      <x:c r="I133" s="87"/>
    </x:row>
    <x:row r="134">
      <x:c r="A134" s="87"/>
      <x:c r="B134" s="87"/>
      <x:c r="C134" s="88"/>
      <x:c r="D134" s="62"/>
      <x:c r="E134" s="62"/>
      <x:c r="F134" s="62"/>
      <x:c r="G134" s="65"/>
      <x:c r="H134" s="62"/>
      <x:c r="I134" s="87"/>
    </x:row>
    <x:row r="135">
      <x:c r="A135" s="87"/>
      <x:c r="B135" s="87"/>
      <x:c r="C135" s="88"/>
      <x:c r="D135" s="62"/>
      <x:c r="E135" s="62"/>
      <x:c r="F135" s="62"/>
      <x:c r="G135" s="65"/>
      <x:c r="H135" s="62"/>
      <x:c r="I135" s="87"/>
    </x:row>
    <x:row r="136">
      <x:c r="A136" s="87"/>
      <x:c r="B136" s="87"/>
      <x:c r="C136" s="88"/>
      <x:c r="D136" s="62"/>
      <x:c r="E136" s="62"/>
      <x:c r="F136" s="62"/>
      <x:c r="G136" s="65"/>
      <x:c r="H136" s="62"/>
      <x:c r="I136" s="87"/>
    </x:row>
    <x:row r="137">
      <x:c r="A137" s="87"/>
      <x:c r="B137" s="87"/>
      <x:c r="C137" s="88"/>
      <x:c r="D137" s="62"/>
      <x:c r="E137" s="62"/>
      <x:c r="F137" s="62"/>
      <x:c r="G137" s="65"/>
      <x:c r="H137" s="62"/>
      <x:c r="I137" s="87"/>
    </x:row>
    <x:row r="138">
      <x:c r="A138" s="87"/>
      <x:c r="B138" s="87"/>
      <x:c r="C138" s="88"/>
      <x:c r="D138" s="62"/>
      <x:c r="E138" s="62"/>
      <x:c r="F138" s="62"/>
      <x:c r="G138" s="65"/>
      <x:c r="H138" s="62"/>
      <x:c r="I138" s="87"/>
    </x:row>
    <x:row r="139">
      <x:c r="A139" s="87"/>
      <x:c r="B139" s="87"/>
      <x:c r="C139" s="88"/>
      <x:c r="D139" s="62"/>
      <x:c r="E139" s="62"/>
      <x:c r="F139" s="62"/>
      <x:c r="G139" s="65"/>
      <x:c r="H139" s="62"/>
      <x:c r="I139" s="87"/>
    </x:row>
    <x:row r="140">
      <x:c r="A140" s="87"/>
      <x:c r="B140" s="87"/>
      <x:c r="C140" s="88"/>
      <x:c r="D140" s="62"/>
      <x:c r="E140" s="62"/>
      <x:c r="F140" s="62"/>
      <x:c r="G140" s="65"/>
      <x:c r="H140" s="62"/>
      <x:c r="I140" s="87"/>
    </x:row>
    <x:row r="141">
      <x:c r="A141" s="87"/>
      <x:c r="B141" s="87"/>
      <x:c r="C141" s="88"/>
      <x:c r="D141" s="62"/>
      <x:c r="E141" s="62"/>
      <x:c r="F141" s="62"/>
      <x:c r="G141" s="65"/>
      <x:c r="H141" s="62"/>
      <x:c r="I141" s="87"/>
    </x:row>
    <x:row r="142">
      <x:c r="A142" s="87"/>
      <x:c r="B142" s="87"/>
      <x:c r="C142" s="88"/>
      <x:c r="D142" s="62"/>
      <x:c r="E142" s="62"/>
      <x:c r="F142" s="62"/>
      <x:c r="G142" s="65"/>
      <x:c r="H142" s="62"/>
      <x:c r="I142" s="87"/>
    </x:row>
    <x:row r="143">
      <x:c r="A143" s="87"/>
      <x:c r="B143" s="87"/>
      <x:c r="C143" s="88"/>
      <x:c r="D143" s="62"/>
      <x:c r="E143" s="62"/>
      <x:c r="F143" s="62"/>
      <x:c r="G143" s="65"/>
      <x:c r="H143" s="62"/>
      <x:c r="I143" s="87"/>
    </x:row>
    <x:row r="144">
      <x:c r="A144" s="87"/>
      <x:c r="B144" s="87"/>
      <x:c r="C144" s="88"/>
      <x:c r="D144" s="62"/>
      <x:c r="E144" s="62"/>
      <x:c r="F144" s="62"/>
      <x:c r="G144" s="65"/>
      <x:c r="H144" s="62"/>
      <x:c r="I144" s="87"/>
    </x:row>
    <x:row r="145">
      <x:c r="A145" s="87"/>
      <x:c r="B145" s="87"/>
      <x:c r="C145" s="88"/>
      <x:c r="D145" s="62"/>
      <x:c r="E145" s="62"/>
      <x:c r="F145" s="62"/>
      <x:c r="G145" s="65"/>
      <x:c r="H145" s="62"/>
      <x:c r="I145" s="87"/>
    </x:row>
    <x:row r="146">
      <x:c r="A146" s="87"/>
      <x:c r="B146" s="87"/>
      <x:c r="C146" s="88"/>
      <x:c r="D146" s="62"/>
      <x:c r="E146" s="62"/>
      <x:c r="F146" s="62"/>
      <x:c r="G146" s="65"/>
      <x:c r="H146" s="62"/>
      <x:c r="I146" s="87"/>
    </x:row>
    <x:row r="147">
      <x:c r="A147" s="87"/>
      <x:c r="B147" s="87"/>
      <x:c r="C147" s="88"/>
      <x:c r="D147" s="62"/>
      <x:c r="E147" s="62"/>
      <x:c r="F147" s="62"/>
      <x:c r="G147" s="65"/>
      <x:c r="H147" s="62"/>
      <x:c r="I147" s="87"/>
    </x:row>
    <x:row r="148">
      <x:c r="A148" s="87"/>
      <x:c r="B148" s="87"/>
      <x:c r="C148" s="88"/>
      <x:c r="D148" s="62"/>
      <x:c r="E148" s="62"/>
      <x:c r="F148" s="62"/>
      <x:c r="G148" s="65"/>
      <x:c r="H148" s="62"/>
      <x:c r="I148" s="87"/>
    </x:row>
    <x:row r="149">
      <x:c r="A149" s="87"/>
      <x:c r="B149" s="87"/>
      <x:c r="C149" s="88"/>
      <x:c r="D149" s="62"/>
      <x:c r="E149" s="62"/>
      <x:c r="F149" s="62"/>
      <x:c r="G149" s="65"/>
      <x:c r="H149" s="62"/>
      <x:c r="I149" s="87"/>
    </x:row>
    <x:row r="150">
      <x:c r="A150" s="87"/>
      <x:c r="B150" s="87"/>
      <x:c r="C150" s="88"/>
      <x:c r="D150" s="62"/>
      <x:c r="E150" s="62"/>
      <x:c r="F150" s="62"/>
      <x:c r="G150" s="65"/>
      <x:c r="H150" s="62"/>
      <x:c r="I150" s="87"/>
    </x:row>
    <x:row r="151">
      <x:c r="A151" s="87"/>
      <x:c r="B151" s="87"/>
      <x:c r="C151" s="88"/>
      <x:c r="D151" s="62"/>
      <x:c r="E151" s="62"/>
      <x:c r="F151" s="62"/>
      <x:c r="G151" s="65"/>
      <x:c r="H151" s="62"/>
      <x:c r="I151" s="87"/>
    </x:row>
    <x:row r="152">
      <x:c r="A152" s="87"/>
      <x:c r="B152" s="87"/>
      <x:c r="C152" s="88"/>
      <x:c r="D152" s="62"/>
      <x:c r="E152" s="62"/>
      <x:c r="F152" s="62"/>
      <x:c r="G152" s="65"/>
      <x:c r="H152" s="62"/>
      <x:c r="I152" s="87"/>
    </x:row>
    <x:row r="153">
      <x:c r="A153" s="87"/>
      <x:c r="B153" s="87"/>
      <x:c r="C153" s="88"/>
      <x:c r="D153" s="62"/>
      <x:c r="E153" s="62"/>
      <x:c r="F153" s="62"/>
      <x:c r="G153" s="65"/>
      <x:c r="H153" s="62"/>
      <x:c r="I153" s="87"/>
    </x:row>
    <x:row r="154">
      <x:c r="A154" s="87"/>
      <x:c r="B154" s="87"/>
      <x:c r="C154" s="88"/>
      <x:c r="D154" s="62"/>
      <x:c r="E154" s="62"/>
      <x:c r="F154" s="62"/>
      <x:c r="G154" s="65"/>
      <x:c r="H154" s="62"/>
      <x:c r="I154" s="87"/>
    </x:row>
    <x:row r="155">
      <x:c r="A155" s="87"/>
      <x:c r="B155" s="87"/>
      <x:c r="C155" s="88"/>
      <x:c r="D155" s="62"/>
      <x:c r="E155" s="62"/>
      <x:c r="F155" s="62"/>
      <x:c r="G155" s="65"/>
      <x:c r="H155" s="62"/>
      <x:c r="I155" s="87"/>
    </x:row>
    <x:row r="156">
      <x:c r="A156" s="87"/>
      <x:c r="B156" s="87"/>
      <x:c r="C156" s="88"/>
      <x:c r="D156" s="62"/>
      <x:c r="E156" s="62"/>
      <x:c r="F156" s="62"/>
      <x:c r="G156" s="65"/>
      <x:c r="H156" s="62"/>
      <x:c r="I156" s="87"/>
    </x:row>
    <x:row r="157">
      <x:c r="A157" s="87"/>
      <x:c r="B157" s="87"/>
      <x:c r="C157" s="88"/>
      <x:c r="D157" s="62"/>
      <x:c r="E157" s="62"/>
      <x:c r="F157" s="62"/>
      <x:c r="G157" s="65"/>
      <x:c r="H157" s="62"/>
      <x:c r="I157" s="87"/>
    </x:row>
    <x:row r="158">
      <x:c r="A158" s="87"/>
      <x:c r="B158" s="87"/>
      <x:c r="C158" s="88"/>
      <x:c r="D158" s="62"/>
      <x:c r="E158" s="62"/>
      <x:c r="F158" s="62"/>
      <x:c r="G158" s="65"/>
      <x:c r="H158" s="62"/>
      <x:c r="I158" s="87"/>
    </x:row>
    <x:row r="159">
      <x:c r="A159" s="87"/>
      <x:c r="B159" s="87"/>
      <x:c r="C159" s="88"/>
      <x:c r="D159" s="62"/>
      <x:c r="E159" s="62"/>
      <x:c r="F159" s="62"/>
      <x:c r="G159" s="65"/>
      <x:c r="H159" s="62"/>
      <x:c r="I159" s="87"/>
    </x:row>
    <x:row r="160">
      <x:c r="A160" s="87"/>
      <x:c r="B160" s="87"/>
      <x:c r="C160" s="88"/>
      <x:c r="D160" s="62"/>
      <x:c r="E160" s="62"/>
      <x:c r="F160" s="62"/>
      <x:c r="G160" s="65"/>
      <x:c r="H160" s="62"/>
      <x:c r="I160" s="87"/>
    </x:row>
    <x:row r="161">
      <x:c r="A161" s="87"/>
      <x:c r="B161" s="87"/>
      <x:c r="C161" s="88"/>
      <x:c r="D161" s="62"/>
      <x:c r="E161" s="62"/>
      <x:c r="F161" s="62"/>
      <x:c r="G161" s="65"/>
      <x:c r="H161" s="62"/>
      <x:c r="I161" s="87"/>
    </x:row>
    <x:row r="162">
      <x:c r="A162" s="87"/>
      <x:c r="B162" s="87"/>
      <x:c r="C162" s="88"/>
      <x:c r="D162" s="62"/>
      <x:c r="E162" s="62"/>
      <x:c r="F162" s="62"/>
      <x:c r="G162" s="65"/>
      <x:c r="H162" s="62"/>
      <x:c r="I162" s="87"/>
    </x:row>
    <x:row r="163">
      <x:c r="A163" s="87"/>
      <x:c r="B163" s="87"/>
      <x:c r="C163" s="88"/>
      <x:c r="D163" s="62"/>
      <x:c r="E163" s="62"/>
      <x:c r="F163" s="62"/>
      <x:c r="G163" s="65"/>
      <x:c r="H163" s="62"/>
      <x:c r="I163" s="87"/>
    </x:row>
    <x:row r="164">
      <x:c r="A164" s="87"/>
      <x:c r="B164" s="87"/>
      <x:c r="C164" s="88"/>
      <x:c r="D164" s="62"/>
      <x:c r="E164" s="62"/>
      <x:c r="F164" s="62"/>
      <x:c r="G164" s="65"/>
      <x:c r="H164" s="62"/>
      <x:c r="I164" s="87"/>
    </x:row>
    <x:row r="165">
      <x:c r="A165" s="87"/>
      <x:c r="B165" s="87"/>
      <x:c r="C165" s="88"/>
      <x:c r="D165" s="62"/>
      <x:c r="E165" s="62"/>
      <x:c r="F165" s="62"/>
      <x:c r="G165" s="65"/>
      <x:c r="H165" s="62"/>
      <x:c r="I165" s="87"/>
    </x:row>
    <x:row r="166">
      <x:c r="A166" s="87"/>
      <x:c r="B166" s="87"/>
      <x:c r="C166" s="88"/>
      <x:c r="D166" s="62"/>
      <x:c r="E166" s="62"/>
      <x:c r="F166" s="62"/>
      <x:c r="G166" s="65"/>
      <x:c r="H166" s="62"/>
      <x:c r="I166" s="87"/>
    </x:row>
    <x:row r="167">
      <x:c r="A167" s="87"/>
      <x:c r="B167" s="87"/>
      <x:c r="C167" s="88"/>
      <x:c r="D167" s="62"/>
      <x:c r="E167" s="62"/>
      <x:c r="F167" s="62"/>
      <x:c r="G167" s="65"/>
      <x:c r="H167" s="62"/>
      <x:c r="I167" s="87"/>
    </x:row>
    <x:row r="168">
      <x:c r="A168" s="87"/>
      <x:c r="B168" s="87"/>
      <x:c r="C168" s="88"/>
      <x:c r="D168" s="62"/>
      <x:c r="E168" s="62"/>
      <x:c r="F168" s="62"/>
      <x:c r="G168" s="65"/>
      <x:c r="H168" s="62"/>
      <x:c r="I168" s="87"/>
    </x:row>
    <x:row r="169">
      <x:c r="A169" s="87"/>
      <x:c r="B169" s="87"/>
      <x:c r="C169" s="88"/>
      <x:c r="D169" s="62"/>
      <x:c r="E169" s="62"/>
      <x:c r="F169" s="62"/>
      <x:c r="G169" s="65"/>
      <x:c r="H169" s="62"/>
      <x:c r="I169" s="87"/>
    </x:row>
    <x:row r="170">
      <x:c r="A170" s="87"/>
      <x:c r="B170" s="87"/>
      <x:c r="C170" s="88"/>
      <x:c r="D170" s="62"/>
      <x:c r="E170" s="62"/>
      <x:c r="F170" s="62"/>
      <x:c r="G170" s="65"/>
      <x:c r="H170" s="62"/>
      <x:c r="I170" s="87"/>
    </x:row>
    <x:row r="171">
      <x:c r="A171" s="87"/>
      <x:c r="B171" s="87"/>
      <x:c r="C171" s="88"/>
      <x:c r="D171" s="62"/>
      <x:c r="E171" s="62"/>
      <x:c r="F171" s="62"/>
      <x:c r="G171" s="65"/>
      <x:c r="H171" s="62"/>
      <x:c r="I171" s="87"/>
    </x:row>
    <x:row r="172">
      <x:c r="A172" s="87"/>
      <x:c r="B172" s="87"/>
      <x:c r="C172" s="88"/>
      <x:c r="D172" s="62"/>
      <x:c r="E172" s="62"/>
      <x:c r="F172" s="62"/>
      <x:c r="G172" s="65"/>
      <x:c r="H172" s="62"/>
      <x:c r="I172" s="87"/>
    </x:row>
    <x:row r="173">
      <x:c r="A173" s="87"/>
      <x:c r="B173" s="87"/>
      <x:c r="C173" s="88"/>
      <x:c r="D173" s="62"/>
      <x:c r="E173" s="62"/>
      <x:c r="F173" s="62"/>
      <x:c r="G173" s="65"/>
      <x:c r="H173" s="62"/>
      <x:c r="I173" s="87"/>
    </x:row>
    <x:row r="174">
      <x:c r="A174" s="87"/>
      <x:c r="B174" s="87"/>
      <x:c r="C174" s="88"/>
      <x:c r="D174" s="62"/>
      <x:c r="E174" s="62"/>
      <x:c r="F174" s="62"/>
      <x:c r="G174" s="65"/>
      <x:c r="H174" s="62"/>
      <x:c r="I174" s="87"/>
    </x:row>
    <x:row r="175">
      <x:c r="A175" s="87"/>
      <x:c r="B175" s="87"/>
      <x:c r="C175" s="88"/>
      <x:c r="D175" s="62"/>
      <x:c r="E175" s="62"/>
      <x:c r="F175" s="62"/>
      <x:c r="G175" s="65"/>
      <x:c r="H175" s="62"/>
      <x:c r="I175" s="87"/>
    </x:row>
    <x:row r="176">
      <x:c r="A176" s="87"/>
      <x:c r="B176" s="87"/>
      <x:c r="C176" s="88"/>
      <x:c r="D176" s="62"/>
      <x:c r="E176" s="62"/>
      <x:c r="F176" s="62"/>
      <x:c r="G176" s="65"/>
      <x:c r="H176" s="62"/>
      <x:c r="I176" s="87"/>
    </x:row>
    <x:row r="177">
      <x:c r="A177" s="87"/>
      <x:c r="B177" s="87"/>
      <x:c r="C177" s="88"/>
      <x:c r="D177" s="62"/>
      <x:c r="E177" s="62"/>
      <x:c r="F177" s="62"/>
      <x:c r="G177" s="65"/>
      <x:c r="H177" s="62"/>
      <x:c r="I177" s="87"/>
    </x:row>
    <x:row r="178">
      <x:c r="A178" s="87"/>
      <x:c r="B178" s="87"/>
      <x:c r="C178" s="88"/>
      <x:c r="D178" s="62"/>
      <x:c r="E178" s="62"/>
      <x:c r="F178" s="62"/>
      <x:c r="G178" s="65"/>
      <x:c r="H178" s="62"/>
      <x:c r="I178" s="87"/>
    </x:row>
    <x:row r="179">
      <x:c r="A179" s="87"/>
      <x:c r="B179" s="87"/>
      <x:c r="C179" s="88"/>
      <x:c r="D179" s="62"/>
      <x:c r="E179" s="62"/>
      <x:c r="F179" s="62"/>
      <x:c r="G179" s="65"/>
      <x:c r="H179" s="62"/>
      <x:c r="I179" s="87"/>
    </x:row>
    <x:row r="180">
      <x:c r="A180" s="87"/>
      <x:c r="B180" s="87"/>
      <x:c r="C180" s="88"/>
      <x:c r="D180" s="62"/>
      <x:c r="E180" s="62"/>
      <x:c r="F180" s="62"/>
      <x:c r="G180" s="65"/>
      <x:c r="H180" s="62"/>
      <x:c r="I180" s="87"/>
    </x:row>
    <x:row r="181">
      <x:c r="A181" s="87"/>
      <x:c r="B181" s="87"/>
      <x:c r="C181" s="88"/>
      <x:c r="D181" s="62"/>
      <x:c r="E181" s="62"/>
      <x:c r="F181" s="62"/>
      <x:c r="G181" s="65"/>
      <x:c r="H181" s="62"/>
      <x:c r="I181" s="87"/>
    </x:row>
    <x:row r="182">
      <x:c r="A182" s="87"/>
      <x:c r="B182" s="87"/>
      <x:c r="C182" s="88"/>
      <x:c r="D182" s="62"/>
      <x:c r="E182" s="62"/>
      <x:c r="F182" s="62"/>
      <x:c r="G182" s="65"/>
      <x:c r="H182" s="62"/>
      <x:c r="I182" s="87"/>
    </x:row>
    <x:row r="183">
      <x:c r="A183" s="87"/>
      <x:c r="B183" s="87"/>
      <x:c r="C183" s="88"/>
      <x:c r="D183" s="62"/>
      <x:c r="E183" s="62"/>
      <x:c r="F183" s="62"/>
      <x:c r="G183" s="65"/>
      <x:c r="H183" s="62"/>
      <x:c r="I183" s="87"/>
    </x:row>
    <x:row r="184">
      <x:c r="A184" s="87"/>
      <x:c r="B184" s="87"/>
      <x:c r="C184" s="88"/>
      <x:c r="D184" s="62"/>
      <x:c r="E184" s="62"/>
      <x:c r="F184" s="62"/>
      <x:c r="G184" s="65"/>
      <x:c r="H184" s="62"/>
      <x:c r="I184" s="87"/>
    </x:row>
    <x:row r="185">
      <x:c r="A185" s="87"/>
      <x:c r="B185" s="87"/>
      <x:c r="C185" s="88"/>
      <x:c r="D185" s="62"/>
      <x:c r="E185" s="62"/>
      <x:c r="F185" s="62"/>
      <x:c r="G185" s="65"/>
      <x:c r="H185" s="62"/>
      <x:c r="I185" s="87"/>
    </x:row>
    <x:row r="186">
      <x:c r="A186" s="87"/>
      <x:c r="B186" s="87"/>
      <x:c r="C186" s="88"/>
      <x:c r="D186" s="62"/>
      <x:c r="E186" s="62"/>
      <x:c r="F186" s="62"/>
      <x:c r="G186" s="65"/>
      <x:c r="H186" s="62"/>
      <x:c r="I186" s="87"/>
    </x:row>
    <x:row r="187">
      <x:c r="A187" s="87"/>
      <x:c r="B187" s="87"/>
      <x:c r="C187" s="88"/>
      <x:c r="D187" s="62"/>
      <x:c r="E187" s="62"/>
      <x:c r="F187" s="62"/>
      <x:c r="G187" s="65"/>
      <x:c r="H187" s="62"/>
      <x:c r="I187" s="87"/>
    </x:row>
    <x:row r="188">
      <x:c r="A188" s="87"/>
      <x:c r="B188" s="87"/>
      <x:c r="C188" s="88"/>
      <x:c r="D188" s="62"/>
      <x:c r="E188" s="62"/>
      <x:c r="F188" s="62"/>
      <x:c r="G188" s="65"/>
      <x:c r="H188" s="62"/>
      <x:c r="I188" s="87"/>
    </x:row>
    <x:row r="189">
      <x:c r="A189" s="87"/>
      <x:c r="B189" s="87"/>
      <x:c r="C189" s="88"/>
      <x:c r="D189" s="62"/>
      <x:c r="E189" s="62"/>
      <x:c r="F189" s="62"/>
      <x:c r="G189" s="65"/>
      <x:c r="H189" s="62"/>
      <x:c r="I189" s="87"/>
    </x:row>
    <x:row r="190">
      <x:c r="A190" s="87"/>
      <x:c r="B190" s="87"/>
      <x:c r="C190" s="88"/>
      <x:c r="D190" s="62"/>
      <x:c r="E190" s="62"/>
      <x:c r="F190" s="62"/>
      <x:c r="G190" s="65"/>
      <x:c r="H190" s="62"/>
      <x:c r="I190" s="87"/>
    </x:row>
    <x:row r="191">
      <x:c r="A191" s="87"/>
      <x:c r="B191" s="87"/>
      <x:c r="C191" s="88"/>
      <x:c r="D191" s="62"/>
      <x:c r="E191" s="62"/>
      <x:c r="F191" s="62"/>
      <x:c r="G191" s="65"/>
      <x:c r="H191" s="62"/>
      <x:c r="I191" s="87"/>
    </x:row>
    <x:row r="192">
      <x:c r="A192" s="87"/>
      <x:c r="B192" s="87"/>
      <x:c r="C192" s="88"/>
      <x:c r="D192" s="62"/>
      <x:c r="E192" s="62"/>
      <x:c r="F192" s="62"/>
      <x:c r="G192" s="65"/>
      <x:c r="H192" s="62"/>
      <x:c r="I192" s="87"/>
    </x:row>
    <x:row r="193">
      <x:c r="A193" s="87"/>
      <x:c r="B193" s="87"/>
      <x:c r="C193" s="88"/>
      <x:c r="D193" s="62"/>
      <x:c r="E193" s="62"/>
      <x:c r="F193" s="62"/>
      <x:c r="G193" s="65"/>
      <x:c r="H193" s="62"/>
      <x:c r="I193" s="87"/>
    </x:row>
    <x:row r="194">
      <x:c r="A194" s="87"/>
      <x:c r="B194" s="87"/>
      <x:c r="C194" s="88"/>
      <x:c r="D194" s="62"/>
      <x:c r="E194" s="62"/>
      <x:c r="F194" s="62"/>
      <x:c r="G194" s="65"/>
      <x:c r="H194" s="62"/>
      <x:c r="I194" s="87"/>
    </x:row>
    <x:row r="195">
      <x:c r="A195" s="87"/>
      <x:c r="B195" s="87"/>
      <x:c r="C195" s="88"/>
      <x:c r="D195" s="62"/>
      <x:c r="E195" s="62"/>
      <x:c r="F195" s="62"/>
      <x:c r="G195" s="65"/>
      <x:c r="H195" s="62"/>
      <x:c r="I195" s="87"/>
    </x:row>
    <x:row r="196">
      <x:c r="A196" s="87"/>
      <x:c r="B196" s="87"/>
      <x:c r="C196" s="88"/>
      <x:c r="D196" s="62"/>
      <x:c r="E196" s="62"/>
      <x:c r="F196" s="62"/>
      <x:c r="G196" s="65"/>
      <x:c r="H196" s="62"/>
      <x:c r="I196" s="87"/>
    </x:row>
    <x:row r="197">
      <x:c r="A197" s="87"/>
      <x:c r="B197" s="87"/>
      <x:c r="C197" s="88"/>
      <x:c r="D197" s="62"/>
      <x:c r="E197" s="62"/>
      <x:c r="F197" s="62"/>
      <x:c r="G197" s="65"/>
      <x:c r="H197" s="62"/>
      <x:c r="I197" s="87"/>
    </x:row>
    <x:row r="198">
      <x:c r="A198" s="87"/>
      <x:c r="B198" s="87"/>
      <x:c r="C198" s="88"/>
      <x:c r="D198" s="62"/>
      <x:c r="E198" s="62"/>
      <x:c r="F198" s="62"/>
      <x:c r="G198" s="65"/>
      <x:c r="H198" s="62"/>
      <x:c r="I198" s="87"/>
    </x:row>
    <x:row r="199">
      <x:c r="A199" s="87"/>
      <x:c r="B199" s="87"/>
      <x:c r="C199" s="88"/>
      <x:c r="D199" s="62"/>
      <x:c r="E199" s="62"/>
      <x:c r="F199" s="62"/>
      <x:c r="G199" s="65"/>
      <x:c r="H199" s="62"/>
      <x:c r="I199" s="87"/>
    </x:row>
    <x:row r="200">
      <x:c r="A200" s="87"/>
      <x:c r="B200" s="87"/>
      <x:c r="C200" s="88"/>
      <x:c r="D200" s="62"/>
      <x:c r="E200" s="62"/>
      <x:c r="F200" s="62"/>
      <x:c r="G200" s="65"/>
      <x:c r="H200" s="62"/>
      <x:c r="I200" s="87"/>
    </x:row>
    <x:row r="201">
      <x:c r="A201" s="87"/>
      <x:c r="B201" s="87"/>
      <x:c r="C201" s="88"/>
      <x:c r="D201" s="62"/>
      <x:c r="E201" s="62"/>
      <x:c r="F201" s="62"/>
      <x:c r="G201" s="65"/>
      <x:c r="H201" s="62"/>
      <x:c r="I201" s="87"/>
    </x:row>
    <x:row r="202">
      <x:c r="A202" s="87"/>
      <x:c r="B202" s="87"/>
      <x:c r="C202" s="88"/>
      <x:c r="D202" s="62"/>
      <x:c r="E202" s="62"/>
      <x:c r="F202" s="62"/>
      <x:c r="G202" s="65"/>
      <x:c r="H202" s="62"/>
      <x:c r="I202" s="87"/>
    </x:row>
    <x:row r="203">
      <x:c r="A203" s="87"/>
      <x:c r="B203" s="87"/>
      <x:c r="C203" s="88"/>
      <x:c r="D203" s="62"/>
      <x:c r="E203" s="62"/>
      <x:c r="F203" s="62"/>
      <x:c r="G203" s="65"/>
      <x:c r="H203" s="62"/>
      <x:c r="I203" s="87"/>
    </x:row>
    <x:row r="204">
      <x:c r="A204" s="89"/>
      <x:c r="B204" s="89"/>
      <x:c r="C204" s="90"/>
      <x:c r="D204" s="63"/>
      <x:c r="E204" s="63"/>
      <x:c r="F204" s="63"/>
      <x:c r="G204" s="66"/>
      <x:c r="H204" s="63"/>
      <x:c r="I204" s="89"/>
    </x:row>
  </x:sheetData>
  <x:conditionalFormatting sqref="D5:D204">
    <x:cfRule type="expression" dxfId="2" priority="1">
      <x:formula>$D5="Fail"</x:formula>
    </x:cfRule>
    <x:cfRule type="expression" dxfId="3" priority="2">
      <x:formula>$D5="Pass"</x:formula>
    </x:cfRule>
  </x:conditionalFormatting>
  <x:dataValidations count="1">
    <x:dataValidation type="list" sqref="D5:D204">
      <x:formula1>"Not assessed,Pass,Fail"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7" hidden="0" customWidth="1"/>
    <x:col min="4" max="4" width="22" hidden="0" customWidth="1"/>
    <x:col min="5" max="5" width="22" hidden="0" customWidth="1"/>
    <x:col min="6" max="6" width="28" hidden="0" customWidth="1"/>
    <x:col min="7" max="7" width="24" hidden="0" customWidth="1"/>
    <x:col min="8" max="8" width="18" hidden="0" customWidth="1"/>
    <x:col min="9" max="9" width="26" hidden="0" customWidth="1"/>
    <x:col min="10" max="10" width="24" hidden="0" customWidth="1"/>
    <x:col min="11" max="11" width="24" hidden="0" customWidth="1"/>
    <x:col min="12" max="12" width="26" hidden="0" customWidth="1"/>
    <x:col min="13" max="13" width="28" hidden="0" customWidth="1"/>
    <x:col min="14" max="14" width="30" hidden="0" customWidth="1"/>
    <x:col min="15" max="15" width="26" hidden="0" customWidth="1"/>
    <x:col min="16" max="16" width="26" hidden="0" customWidth="1"/>
    <x:col min="17" max="17" width="23" hidden="0" customWidth="1"/>
    <x:col min="18" max="18" width="27" hidden="0" customWidth="1"/>
    <x:col min="19" max="19" width="22" hidden="0" customWidth="1"/>
    <x:col min="20" max="20" width="32" hidden="0" customWidth="1"/>
    <x:col min="21" max="21" width="32" hidden="0" customWidth="1"/>
    <x:col min="22" max="22" width="32" hidden="0" customWidth="1"/>
    <x:col min="23" max="23" width="38" hidden="0" customWidth="1"/>
  </x:cols>
  <x:sheetData>
    <x:row r="1">
      <x:c r="A1" s="36" t="str">
        <x:v>Phase 4 | Source Profile</x:v>
      </x:c>
    </x:row>
    <x:row r="2">
      <x:c r="A2" s="38" t="str">
        <x:v>Complete one row per candidate. Leave unknown facts blank, record evidence, and do not promote proof candidates to production sources without owner validation.</x:v>
      </x:c>
    </x:row>
    <x:row r="4" ht="42" customHeight="1">
      <x:c r="A4" s="70" t="str">
        <x:v>Candidate ID</x:v>
      </x:c>
      <x:c r="B4" s="70" t="str">
        <x:v>Candidate / proof</x:v>
      </x:c>
      <x:c r="C4" s="70" t="str">
        <x:v>Type</x:v>
      </x:c>
      <x:c r="D4" s="70" t="str">
        <x:v>Business domain</x:v>
      </x:c>
      <x:c r="E4" s="70" t="str">
        <x:v>Source system</x:v>
      </x:c>
      <x:c r="F4" s="70" t="str">
        <x:v>Entities / data objects</x:v>
      </x:c>
      <x:c r="G4" s="70" t="str">
        <x:v>In-scope dates / history</x:v>
      </x:c>
      <x:c r="H4" s="70" t="str">
        <x:v>Volume / growth</x:v>
      </x:c>
      <x:c r="I4" s="70" t="str">
        <x:v>Update cadence / late arrivals</x:v>
      </x:c>
      <x:c r="J4" s="70" t="str">
        <x:v>Upstream dependencies</x:v>
      </x:c>
      <x:c r="K4" s="70" t="str">
        <x:v>Downstream consumers</x:v>
      </x:c>
      <x:c r="L4" s="70" t="str">
        <x:v>Schema stability / change history</x:v>
      </x:c>
      <x:c r="M4" s="70" t="str">
        <x:v>Keys / quality profile</x:v>
      </x:c>
      <x:c r="N4" s="70" t="str">
        <x:v>Extraction method / source boundary</x:v>
      </x:c>
      <x:c r="O4" s="70" t="str">
        <x:v>Restart / replay approach</x:v>
      </x:c>
      <x:c r="P4" s="70" t="str">
        <x:v>Lineage / provenance available</x:v>
      </x:c>
      <x:c r="Q4" s="70" t="str">
        <x:v>Sensitivity / classification</x:v>
      </x:c>
      <x:c r="R4" s="70" t="str">
        <x:v>Access / boundary constraints</x:v>
      </x:c>
      <x:c r="S4" s="70" t="str">
        <x:v>Retention requirements</x:v>
      </x:c>
      <x:c r="T4" s="70" t="str">
        <x:v>Reconciliation method / limitations</x:v>
      </x:c>
      <x:c r="U4" s="70" t="str">
        <x:v>Known defects / remediation</x:v>
      </x:c>
      <x:c r="V4" s="70" t="str">
        <x:v>Evidence reference</x:v>
      </x:c>
      <x:c r="W4" s="70" t="str">
        <x:v>Owner / open questions</x:v>
      </x:c>
    </x:row>
    <x:row r="5" ht="42" customHeight="1">
      <x:c r="A5" s="75" t="str">
        <x:v>P01</x:v>
      </x:c>
      <x:c r="B5" s="75" t="str">
        <x:v>Inspection Completion</x:v>
      </x:c>
      <x:c r="C5" s="75" t="str">
        <x:v>Proof candidate</x:v>
      </x:c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 t="str">
        <x:v>Not deployed or executed; workspace had expired.</x:v>
      </x:c>
      <x:c r="V5" s="75" t="str">
        <x:v>Phase 3 closeout context; verify against repo</x:v>
      </x:c>
      <x:c r="W5" s="75" t="str">
        <x:v>Re-establish source, owner, use, and execution environment.</x:v>
      </x:c>
    </x:row>
    <x:row r="6" ht="42" customHeight="1">
      <x:c r="A6" s="76" t="str">
        <x:v>P02</x:v>
      </x:c>
      <x:c r="B6" s="76" t="str">
        <x:v>Application Processing Time</x:v>
      </x:c>
      <x:c r="C6" s="76" t="str">
        <x:v>Proof candidate</x:v>
      </x:c>
      <x:c r="D6" s="76"/>
      <x:c r="E6" s="76"/>
      <x:c r="F6" s="76"/>
      <x:c r="G6" s="76"/>
      <x:c r="H6" s="76"/>
      <x:c r="I6" s="76"/>
      <x:c r="J6" s="76"/>
      <x:c r="K6" s="76"/>
      <x:c r="L6" s="76"/>
      <x:c r="M6" s="76"/>
      <x:c r="N6" s="76"/>
      <x:c r="O6" s="76"/>
      <x:c r="P6" s="76"/>
      <x:c r="Q6" s="76"/>
      <x:c r="R6" s="76"/>
      <x:c r="S6" s="76"/>
      <x:c r="T6" s="76"/>
      <x:c r="U6" s="76" t="str">
        <x:v>Deterministic proof outstanding.</x:v>
      </x:c>
      <x:c r="V6" s="76" t="str">
        <x:v>Phase 3 closeout context; verify against repo</x:v>
      </x:c>
      <x:c r="W6" s="76" t="str">
        <x:v>Identify source, owner, business definition, output, and criteria.</x:v>
      </x:c>
    </x:row>
    <x:row r="7" ht="42" customHeight="1">
      <x:c r="A7" s="76" t="str">
        <x:v>P03</x:v>
      </x:c>
      <x:c r="B7" s="76" t="str">
        <x:v>Portability Activity</x:v>
      </x:c>
      <x:c r="C7" s="76" t="str">
        <x:v>Proof candidate</x:v>
      </x:c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  <x:c r="S7" s="76"/>
      <x:c r="T7" s="76"/>
      <x:c r="U7" s="76" t="str">
        <x:v>Deterministic proof outstanding.</x:v>
      </x:c>
      <x:c r="V7" s="76" t="str">
        <x:v>Phase 3 closeout context; verify against repo</x:v>
      </x:c>
      <x:c r="W7" s="76" t="str">
        <x:v>Identify source, owner, business definition, output, and criteria.</x:v>
      </x:c>
    </x:row>
    <x:row r="8" ht="42" customHeight="1">
      <x:c r="A8" s="76"/>
      <x:c r="B8" s="76"/>
      <x:c r="C8" s="76"/>
      <x:c r="D8" s="76"/>
      <x:c r="E8" s="76"/>
      <x:c r="F8" s="76"/>
      <x:c r="G8" s="76"/>
      <x:c r="H8" s="76"/>
      <x:c r="I8" s="76"/>
      <x:c r="J8" s="76"/>
      <x:c r="K8" s="76"/>
      <x:c r="L8" s="76"/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6"/>
    </x:row>
    <x:row r="9" ht="42" customHeight="1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  <x:c r="S9" s="76"/>
      <x:c r="T9" s="76"/>
      <x:c r="U9" s="76"/>
      <x:c r="V9" s="76"/>
      <x:c r="W9" s="76"/>
    </x:row>
    <x:row r="10" ht="42" customHeight="1">
      <x:c r="A10" s="76"/>
      <x:c r="B10" s="76"/>
      <x:c r="C10" s="76"/>
      <x:c r="D10" s="76"/>
      <x:c r="E10" s="76"/>
      <x:c r="F10" s="76"/>
      <x:c r="G10" s="76"/>
      <x:c r="H10" s="76"/>
      <x:c r="I10" s="76"/>
      <x:c r="J10" s="76"/>
      <x:c r="K10" s="76"/>
      <x:c r="L10" s="76"/>
      <x:c r="M10" s="76"/>
      <x:c r="N10" s="76"/>
      <x:c r="O10" s="76"/>
      <x:c r="P10" s="76"/>
      <x:c r="Q10" s="76"/>
      <x:c r="R10" s="76"/>
      <x:c r="S10" s="76"/>
      <x:c r="T10" s="76"/>
      <x:c r="U10" s="76"/>
      <x:c r="V10" s="76"/>
      <x:c r="W10" s="76"/>
    </x:row>
    <x:row r="11" ht="42" customHeight="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  <x:c r="S11" s="76"/>
      <x:c r="T11" s="76"/>
      <x:c r="U11" s="76"/>
      <x:c r="V11" s="76"/>
      <x:c r="W11" s="76"/>
    </x:row>
    <x:row r="12" ht="42" customHeight="1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6"/>
      <x:c r="O12" s="76"/>
      <x:c r="P12" s="76"/>
      <x:c r="Q12" s="76"/>
      <x:c r="R12" s="76"/>
      <x:c r="S12" s="76"/>
      <x:c r="T12" s="76"/>
      <x:c r="U12" s="76"/>
      <x:c r="V12" s="76"/>
      <x:c r="W12" s="76"/>
    </x:row>
    <x:row r="13" ht="42" customHeight="1">
      <x:c r="A13" s="76"/>
      <x:c r="B13" s="76"/>
      <x:c r="C13" s="76"/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6"/>
    </x:row>
    <x:row r="14" ht="42" customHeight="1">
      <x:c r="A14" s="76"/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  <x:c r="O14" s="76"/>
      <x:c r="P14" s="76"/>
      <x:c r="Q14" s="76"/>
      <x:c r="R14" s="76"/>
      <x:c r="S14" s="76"/>
      <x:c r="T14" s="76"/>
      <x:c r="U14" s="76"/>
      <x:c r="V14" s="76"/>
      <x:c r="W14" s="76"/>
    </x:row>
    <x:row r="15" ht="42" customHeight="1">
      <x:c r="A15" s="76"/>
      <x:c r="B15" s="76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  <x:c r="S15" s="76"/>
      <x:c r="T15" s="76"/>
      <x:c r="U15" s="76"/>
      <x:c r="V15" s="76"/>
      <x:c r="W15" s="76"/>
    </x:row>
    <x:row r="16" ht="42" customHeight="1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  <x:c r="O16" s="76"/>
      <x:c r="P16" s="76"/>
      <x:c r="Q16" s="76"/>
      <x:c r="R16" s="76"/>
      <x:c r="S16" s="76"/>
      <x:c r="T16" s="76"/>
      <x:c r="U16" s="76"/>
      <x:c r="V16" s="76"/>
      <x:c r="W16" s="76"/>
    </x:row>
    <x:row r="17" ht="42" customHeight="1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  <x:c r="S17" s="76"/>
      <x:c r="T17" s="76"/>
      <x:c r="U17" s="76"/>
      <x:c r="V17" s="76"/>
      <x:c r="W17" s="76"/>
    </x:row>
    <x:row r="18" ht="42" customHeight="1">
      <x:c r="A18" s="76"/>
      <x:c r="B18" s="76"/>
      <x:c r="C18" s="76"/>
      <x:c r="D18" s="76"/>
      <x:c r="E18" s="76"/>
      <x:c r="F18" s="76"/>
      <x:c r="G18" s="76"/>
      <x:c r="H18" s="76"/>
      <x:c r="I18" s="76"/>
      <x:c r="J18" s="76"/>
      <x:c r="K18" s="76"/>
      <x:c r="L18" s="76"/>
      <x:c r="M18" s="76"/>
      <x:c r="N18" s="76"/>
      <x:c r="O18" s="76"/>
      <x:c r="P18" s="76"/>
      <x:c r="Q18" s="76"/>
      <x:c r="R18" s="76"/>
      <x:c r="S18" s="76"/>
      <x:c r="T18" s="76"/>
      <x:c r="U18" s="76"/>
      <x:c r="V18" s="76"/>
      <x:c r="W18" s="76"/>
    </x:row>
    <x:row r="19" ht="42" customHeight="1">
      <x:c r="A19" s="76"/>
      <x:c r="B19" s="76"/>
      <x:c r="C19" s="76"/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  <x:c r="S19" s="76"/>
      <x:c r="T19" s="76"/>
      <x:c r="U19" s="76"/>
      <x:c r="V19" s="76"/>
      <x:c r="W19" s="76"/>
    </x:row>
    <x:row r="20" ht="42" customHeight="1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  <x:c r="O20" s="76"/>
      <x:c r="P20" s="76"/>
      <x:c r="Q20" s="76"/>
      <x:c r="R20" s="76"/>
      <x:c r="S20" s="76"/>
      <x:c r="T20" s="76"/>
      <x:c r="U20" s="76"/>
      <x:c r="V20" s="76"/>
      <x:c r="W20" s="76"/>
    </x:row>
    <x:row r="21" ht="42" customHeight="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  <x:c r="S21" s="76"/>
      <x:c r="T21" s="76"/>
      <x:c r="U21" s="76"/>
      <x:c r="V21" s="76"/>
      <x:c r="W21" s="76"/>
    </x:row>
    <x:row r="22" ht="42" customHeight="1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6"/>
      <x:c r="P22" s="76"/>
      <x:c r="Q22" s="76"/>
      <x:c r="R22" s="76"/>
      <x:c r="S22" s="76"/>
      <x:c r="T22" s="76"/>
      <x:c r="U22" s="76"/>
      <x:c r="V22" s="76"/>
      <x:c r="W22" s="76"/>
    </x:row>
    <x:row r="23" ht="42" customHeight="1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  <x:c r="S23" s="76"/>
      <x:c r="T23" s="76"/>
      <x:c r="U23" s="76"/>
      <x:c r="V23" s="76"/>
      <x:c r="W23" s="76"/>
    </x:row>
    <x:row r="24" ht="42" customHeight="1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</x:row>
  </x:sheetData>
  <x:pageMargins left="0.7" right="0.7" top="0.75" bottom="0.75" header="0.3" footer="0.3"/>
</x:worksheet>
</file>